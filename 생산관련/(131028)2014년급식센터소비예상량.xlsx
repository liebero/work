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ocuments\대외협력\경기센터협의회\"/>
    </mc:Choice>
  </mc:AlternateContent>
  <bookViews>
    <workbookView xWindow="0" yWindow="105" windowWidth="13215" windowHeight="7005"/>
  </bookViews>
  <sheets>
    <sheet name="지역별소비량" sheetId="7" r:id="rId1"/>
    <sheet name="요약" sheetId="6" r:id="rId2"/>
    <sheet name="전체" sheetId="1" r:id="rId3"/>
  </sheets>
  <calcPr calcId="152511"/>
</workbook>
</file>

<file path=xl/calcChain.xml><?xml version="1.0" encoding="utf-8"?>
<calcChain xmlns="http://schemas.openxmlformats.org/spreadsheetml/2006/main">
  <c r="P10" i="7" l="1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L9" i="7"/>
  <c r="M9" i="7"/>
  <c r="N9" i="7"/>
  <c r="O9" i="7"/>
  <c r="K9" i="7"/>
  <c r="P9" i="7" s="1"/>
  <c r="F42" i="7"/>
  <c r="G42" i="7" s="1"/>
  <c r="F41" i="7"/>
  <c r="G41" i="7" s="1"/>
  <c r="H41" i="7" s="1"/>
  <c r="F40" i="7"/>
  <c r="G40" i="7" s="1"/>
  <c r="I40" i="7" s="1"/>
  <c r="J40" i="7" s="1"/>
  <c r="F39" i="7"/>
  <c r="G39" i="7" s="1"/>
  <c r="F38" i="7"/>
  <c r="G38" i="7" s="1"/>
  <c r="H38" i="7" s="1"/>
  <c r="F37" i="7"/>
  <c r="G37" i="7" s="1"/>
  <c r="F36" i="7"/>
  <c r="G36" i="7" s="1"/>
  <c r="H36" i="7" s="1"/>
  <c r="F35" i="7"/>
  <c r="G35" i="7" s="1"/>
  <c r="H35" i="7" s="1"/>
  <c r="F34" i="7"/>
  <c r="G34" i="7" s="1"/>
  <c r="F33" i="7"/>
  <c r="G33" i="7" s="1"/>
  <c r="H33" i="7" s="1"/>
  <c r="F32" i="7"/>
  <c r="G32" i="7" s="1"/>
  <c r="H32" i="7" s="1"/>
  <c r="F31" i="7"/>
  <c r="G31" i="7" s="1"/>
  <c r="F30" i="7"/>
  <c r="G30" i="7" s="1"/>
  <c r="H30" i="7" s="1"/>
  <c r="F29" i="7"/>
  <c r="G29" i="7" s="1"/>
  <c r="F28" i="7"/>
  <c r="G28" i="7" s="1"/>
  <c r="F27" i="7"/>
  <c r="G27" i="7" s="1"/>
  <c r="H27" i="7" s="1"/>
  <c r="F26" i="7"/>
  <c r="G26" i="7" s="1"/>
  <c r="F25" i="7"/>
  <c r="G25" i="7" s="1"/>
  <c r="H25" i="7" s="1"/>
  <c r="F24" i="7"/>
  <c r="G24" i="7" s="1"/>
  <c r="H24" i="7" s="1"/>
  <c r="F23" i="7"/>
  <c r="G23" i="7" s="1"/>
  <c r="F22" i="7"/>
  <c r="G22" i="7" s="1"/>
  <c r="G21" i="7"/>
  <c r="I21" i="7" s="1"/>
  <c r="F20" i="7"/>
  <c r="G20" i="7" s="1"/>
  <c r="F19" i="7"/>
  <c r="G19" i="7" s="1"/>
  <c r="F18" i="7"/>
  <c r="G18" i="7" s="1"/>
  <c r="H18" i="7" s="1"/>
  <c r="F17" i="7"/>
  <c r="G17" i="7" s="1"/>
  <c r="F16" i="7"/>
  <c r="G16" i="7" s="1"/>
  <c r="F15" i="7"/>
  <c r="G15" i="7" s="1"/>
  <c r="H15" i="7" s="1"/>
  <c r="F14" i="7"/>
  <c r="G14" i="7" s="1"/>
  <c r="F13" i="7"/>
  <c r="G13" i="7" s="1"/>
  <c r="F12" i="7"/>
  <c r="G12" i="7" s="1"/>
  <c r="H12" i="7" s="1"/>
  <c r="F11" i="7"/>
  <c r="G11" i="7" s="1"/>
  <c r="H11" i="7" s="1"/>
  <c r="E10" i="7"/>
  <c r="D10" i="7"/>
  <c r="E9" i="7"/>
  <c r="D9" i="7"/>
  <c r="E8" i="7"/>
  <c r="D8" i="7"/>
  <c r="AJ42" i="6"/>
  <c r="E42" i="6"/>
  <c r="F42" i="6" s="1"/>
  <c r="G42" i="6" s="1"/>
  <c r="AJ41" i="6"/>
  <c r="E41" i="6"/>
  <c r="F41" i="6" s="1"/>
  <c r="AJ40" i="6"/>
  <c r="E40" i="6"/>
  <c r="F40" i="6" s="1"/>
  <c r="AJ39" i="6"/>
  <c r="E39" i="6"/>
  <c r="F39" i="6" s="1"/>
  <c r="AJ38" i="6"/>
  <c r="E38" i="6"/>
  <c r="F38" i="6" s="1"/>
  <c r="G38" i="6" s="1"/>
  <c r="AJ37" i="6"/>
  <c r="E37" i="6"/>
  <c r="F37" i="6" s="1"/>
  <c r="AJ36" i="6"/>
  <c r="E36" i="6"/>
  <c r="F36" i="6" s="1"/>
  <c r="AJ35" i="6"/>
  <c r="E35" i="6"/>
  <c r="F35" i="6" s="1"/>
  <c r="AJ34" i="6"/>
  <c r="F34" i="6"/>
  <c r="G34" i="6" s="1"/>
  <c r="E34" i="6"/>
  <c r="AJ33" i="6"/>
  <c r="E33" i="6"/>
  <c r="F33" i="6" s="1"/>
  <c r="AJ32" i="6"/>
  <c r="E32" i="6"/>
  <c r="F32" i="6" s="1"/>
  <c r="AJ31" i="6"/>
  <c r="E31" i="6"/>
  <c r="F31" i="6" s="1"/>
  <c r="AJ30" i="6"/>
  <c r="E30" i="6"/>
  <c r="F30" i="6" s="1"/>
  <c r="G30" i="6" s="1"/>
  <c r="AJ29" i="6"/>
  <c r="E29" i="6"/>
  <c r="F29" i="6" s="1"/>
  <c r="AJ28" i="6"/>
  <c r="E28" i="6"/>
  <c r="F28" i="6" s="1"/>
  <c r="AJ27" i="6"/>
  <c r="E27" i="6"/>
  <c r="F27" i="6" s="1"/>
  <c r="AJ26" i="6"/>
  <c r="E26" i="6"/>
  <c r="F26" i="6" s="1"/>
  <c r="G26" i="6" s="1"/>
  <c r="AJ25" i="6"/>
  <c r="E25" i="6"/>
  <c r="F25" i="6" s="1"/>
  <c r="AJ24" i="6"/>
  <c r="E24" i="6"/>
  <c r="F24" i="6" s="1"/>
  <c r="AJ23" i="6"/>
  <c r="E23" i="6"/>
  <c r="F23" i="6" s="1"/>
  <c r="H23" i="6" s="1"/>
  <c r="I23" i="6" s="1"/>
  <c r="AJ22" i="6"/>
  <c r="E22" i="6"/>
  <c r="F22" i="6" s="1"/>
  <c r="G22" i="6" s="1"/>
  <c r="AJ21" i="6"/>
  <c r="F21" i="6"/>
  <c r="H21" i="6" s="1"/>
  <c r="AJ20" i="6"/>
  <c r="E20" i="6"/>
  <c r="F20" i="6" s="1"/>
  <c r="AJ19" i="6"/>
  <c r="E19" i="6"/>
  <c r="F19" i="6" s="1"/>
  <c r="AJ18" i="6"/>
  <c r="E18" i="6"/>
  <c r="F18" i="6" s="1"/>
  <c r="G18" i="6" s="1"/>
  <c r="AJ17" i="6"/>
  <c r="E17" i="6"/>
  <c r="F17" i="6" s="1"/>
  <c r="G17" i="6" s="1"/>
  <c r="AJ16" i="6"/>
  <c r="E16" i="6"/>
  <c r="F16" i="6" s="1"/>
  <c r="AJ15" i="6"/>
  <c r="E15" i="6"/>
  <c r="F15" i="6" s="1"/>
  <c r="AJ14" i="6"/>
  <c r="E14" i="6"/>
  <c r="F14" i="6" s="1"/>
  <c r="G14" i="6" s="1"/>
  <c r="AJ13" i="6"/>
  <c r="E13" i="6"/>
  <c r="F13" i="6" s="1"/>
  <c r="G13" i="6" s="1"/>
  <c r="AJ12" i="6"/>
  <c r="E12" i="6"/>
  <c r="F12" i="6" s="1"/>
  <c r="AK11" i="6"/>
  <c r="AJ11" i="6"/>
  <c r="E11" i="6"/>
  <c r="F11" i="6" s="1"/>
  <c r="AF10" i="6"/>
  <c r="AB10" i="6"/>
  <c r="T10" i="6"/>
  <c r="P10" i="6"/>
  <c r="L10" i="6"/>
  <c r="AI9" i="6"/>
  <c r="AH9" i="6"/>
  <c r="L9" i="6"/>
  <c r="AJ9" i="6" s="1"/>
  <c r="D9" i="6"/>
  <c r="C9" i="6"/>
  <c r="D8" i="6"/>
  <c r="C8" i="6"/>
  <c r="D7" i="6"/>
  <c r="C7" i="6"/>
  <c r="AF10" i="1"/>
  <c r="AB10" i="1"/>
  <c r="T10" i="1"/>
  <c r="P10" i="1"/>
  <c r="L10" i="1"/>
  <c r="AJ42" i="1"/>
  <c r="AJ12" i="1"/>
  <c r="AJ10" i="1" s="1"/>
  <c r="AJ13" i="1"/>
  <c r="AJ14" i="1"/>
  <c r="AJ15" i="1"/>
  <c r="AJ16" i="1"/>
  <c r="AJ17" i="1"/>
  <c r="AJ18" i="1"/>
  <c r="AJ19" i="1"/>
  <c r="AJ20" i="1"/>
  <c r="AJ21" i="1"/>
  <c r="AL21" i="1" s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11" i="1"/>
  <c r="AK11" i="1"/>
  <c r="AI9" i="1"/>
  <c r="AH9" i="1"/>
  <c r="F21" i="1"/>
  <c r="H21" i="1" s="1"/>
  <c r="L9" i="1"/>
  <c r="AJ9" i="1" s="1"/>
  <c r="F10" i="7" l="1"/>
  <c r="I16" i="7"/>
  <c r="J16" i="7" s="1"/>
  <c r="H16" i="7"/>
  <c r="I22" i="7"/>
  <c r="J22" i="7" s="1"/>
  <c r="Q22" i="7" s="1"/>
  <c r="H22" i="7"/>
  <c r="F8" i="7"/>
  <c r="F9" i="7"/>
  <c r="H13" i="7"/>
  <c r="I13" i="7"/>
  <c r="J13" i="7" s="1"/>
  <c r="Q13" i="7" s="1"/>
  <c r="G9" i="7"/>
  <c r="H19" i="7"/>
  <c r="I19" i="7"/>
  <c r="J19" i="7" s="1"/>
  <c r="Q19" i="7" s="1"/>
  <c r="H28" i="7"/>
  <c r="I28" i="7"/>
  <c r="J28" i="7" s="1"/>
  <c r="Q28" i="7" s="1"/>
  <c r="H39" i="7"/>
  <c r="I39" i="7"/>
  <c r="J39" i="7" s="1"/>
  <c r="Q39" i="7" s="1"/>
  <c r="I17" i="7"/>
  <c r="J17" i="7" s="1"/>
  <c r="Q17" i="7" s="1"/>
  <c r="H17" i="7"/>
  <c r="H23" i="7"/>
  <c r="I23" i="7"/>
  <c r="J23" i="7" s="1"/>
  <c r="G10" i="7"/>
  <c r="I26" i="7"/>
  <c r="J26" i="7" s="1"/>
  <c r="Q26" i="7" s="1"/>
  <c r="H26" i="7"/>
  <c r="H31" i="7"/>
  <c r="I31" i="7"/>
  <c r="J31" i="7" s="1"/>
  <c r="H34" i="7"/>
  <c r="I34" i="7"/>
  <c r="J34" i="7" s="1"/>
  <c r="I37" i="7"/>
  <c r="J37" i="7" s="1"/>
  <c r="Q37" i="7" s="1"/>
  <c r="H37" i="7"/>
  <c r="I14" i="7"/>
  <c r="J14" i="7" s="1"/>
  <c r="Q14" i="7" s="1"/>
  <c r="H14" i="7"/>
  <c r="I20" i="7"/>
  <c r="J20" i="7" s="1"/>
  <c r="Q20" i="7" s="1"/>
  <c r="H20" i="7"/>
  <c r="I29" i="7"/>
  <c r="J29" i="7" s="1"/>
  <c r="H29" i="7"/>
  <c r="H42" i="7"/>
  <c r="I42" i="7"/>
  <c r="J42" i="7" s="1"/>
  <c r="G8" i="7"/>
  <c r="I11" i="7"/>
  <c r="I12" i="7"/>
  <c r="I15" i="7"/>
  <c r="J15" i="7" s="1"/>
  <c r="Q15" i="7" s="1"/>
  <c r="I18" i="7"/>
  <c r="J18" i="7" s="1"/>
  <c r="I24" i="7"/>
  <c r="J24" i="7" s="1"/>
  <c r="Q24" i="7" s="1"/>
  <c r="I27" i="7"/>
  <c r="J27" i="7" s="1"/>
  <c r="I32" i="7"/>
  <c r="J32" i="7" s="1"/>
  <c r="Q32" i="7" s="1"/>
  <c r="I35" i="7"/>
  <c r="J35" i="7" s="1"/>
  <c r="Q35" i="7" s="1"/>
  <c r="I38" i="7"/>
  <c r="J38" i="7" s="1"/>
  <c r="H40" i="7"/>
  <c r="I25" i="7"/>
  <c r="J25" i="7" s="1"/>
  <c r="I30" i="7"/>
  <c r="J30" i="7" s="1"/>
  <c r="Q30" i="7" s="1"/>
  <c r="I33" i="7"/>
  <c r="J33" i="7" s="1"/>
  <c r="Q33" i="7" s="1"/>
  <c r="I36" i="7"/>
  <c r="J36" i="7" s="1"/>
  <c r="I41" i="7"/>
  <c r="J41" i="7" s="1"/>
  <c r="Q41" i="7" s="1"/>
  <c r="H27" i="6"/>
  <c r="I27" i="6" s="1"/>
  <c r="G27" i="6"/>
  <c r="E9" i="6"/>
  <c r="G23" i="6"/>
  <c r="AJ10" i="6"/>
  <c r="G35" i="6"/>
  <c r="H35" i="6"/>
  <c r="I35" i="6" s="1"/>
  <c r="AL35" i="6" s="1"/>
  <c r="G31" i="6"/>
  <c r="H31" i="6"/>
  <c r="I31" i="6" s="1"/>
  <c r="G39" i="6"/>
  <c r="H39" i="6"/>
  <c r="I39" i="6" s="1"/>
  <c r="AL39" i="6" s="1"/>
  <c r="H14" i="6"/>
  <c r="I14" i="6" s="1"/>
  <c r="AL14" i="6" s="1"/>
  <c r="H18" i="6"/>
  <c r="I18" i="6" s="1"/>
  <c r="H11" i="6"/>
  <c r="F8" i="6"/>
  <c r="G11" i="6"/>
  <c r="F7" i="6"/>
  <c r="H24" i="6"/>
  <c r="I24" i="6" s="1"/>
  <c r="AL24" i="6" s="1"/>
  <c r="G24" i="6"/>
  <c r="G12" i="6"/>
  <c r="F9" i="6"/>
  <c r="H12" i="6"/>
  <c r="G16" i="6"/>
  <c r="H16" i="6"/>
  <c r="I16" i="6" s="1"/>
  <c r="G20" i="6"/>
  <c r="H20" i="6"/>
  <c r="I20" i="6" s="1"/>
  <c r="AL20" i="6" s="1"/>
  <c r="G28" i="6"/>
  <c r="H28" i="6"/>
  <c r="I28" i="6" s="1"/>
  <c r="AL28" i="6" s="1"/>
  <c r="G32" i="6"/>
  <c r="H32" i="6"/>
  <c r="I32" i="6" s="1"/>
  <c r="AL32" i="6" s="1"/>
  <c r="G36" i="6"/>
  <c r="H36" i="6"/>
  <c r="I36" i="6" s="1"/>
  <c r="G40" i="6"/>
  <c r="H40" i="6"/>
  <c r="I40" i="6" s="1"/>
  <c r="H25" i="6"/>
  <c r="I25" i="6" s="1"/>
  <c r="G25" i="6"/>
  <c r="H15" i="6"/>
  <c r="I15" i="6" s="1"/>
  <c r="AL15" i="6" s="1"/>
  <c r="G15" i="6"/>
  <c r="H19" i="6"/>
  <c r="I19" i="6" s="1"/>
  <c r="AL19" i="6" s="1"/>
  <c r="G19" i="6"/>
  <c r="H29" i="6"/>
  <c r="I29" i="6" s="1"/>
  <c r="G29" i="6"/>
  <c r="H33" i="6"/>
  <c r="I33" i="6" s="1"/>
  <c r="AL33" i="6" s="1"/>
  <c r="G33" i="6"/>
  <c r="H37" i="6"/>
  <c r="I37" i="6" s="1"/>
  <c r="AL37" i="6" s="1"/>
  <c r="G37" i="6"/>
  <c r="H41" i="6"/>
  <c r="I41" i="6" s="1"/>
  <c r="AL41" i="6" s="1"/>
  <c r="G41" i="6"/>
  <c r="E7" i="6"/>
  <c r="E8" i="6"/>
  <c r="H13" i="6"/>
  <c r="I13" i="6" s="1"/>
  <c r="AL13" i="6" s="1"/>
  <c r="H17" i="6"/>
  <c r="I17" i="6" s="1"/>
  <c r="AL17" i="6" s="1"/>
  <c r="H22" i="6"/>
  <c r="I22" i="6" s="1"/>
  <c r="AL22" i="6" s="1"/>
  <c r="H26" i="6"/>
  <c r="I26" i="6" s="1"/>
  <c r="AL26" i="6" s="1"/>
  <c r="H30" i="6"/>
  <c r="I30" i="6" s="1"/>
  <c r="AL30" i="6" s="1"/>
  <c r="H34" i="6"/>
  <c r="I34" i="6" s="1"/>
  <c r="H38" i="6"/>
  <c r="I38" i="6" s="1"/>
  <c r="H42" i="6"/>
  <c r="I42" i="6" s="1"/>
  <c r="D9" i="1"/>
  <c r="D8" i="1"/>
  <c r="C9" i="1"/>
  <c r="C8" i="1"/>
  <c r="D7" i="1"/>
  <c r="C7" i="1"/>
  <c r="E12" i="1"/>
  <c r="F12" i="1" s="1"/>
  <c r="H12" i="1" s="1"/>
  <c r="E13" i="1"/>
  <c r="F13" i="1" s="1"/>
  <c r="H13" i="1" s="1"/>
  <c r="I13" i="1" s="1"/>
  <c r="AL13" i="1" s="1"/>
  <c r="E14" i="1"/>
  <c r="F14" i="1" s="1"/>
  <c r="H14" i="1" s="1"/>
  <c r="I14" i="1" s="1"/>
  <c r="AL14" i="1" s="1"/>
  <c r="E15" i="1"/>
  <c r="F15" i="1" s="1"/>
  <c r="E16" i="1"/>
  <c r="F16" i="1" s="1"/>
  <c r="H16" i="1" s="1"/>
  <c r="I16" i="1" s="1"/>
  <c r="AL16" i="1" s="1"/>
  <c r="E17" i="1"/>
  <c r="F17" i="1" s="1"/>
  <c r="H17" i="1" s="1"/>
  <c r="I17" i="1" s="1"/>
  <c r="AL17" i="1" s="1"/>
  <c r="E18" i="1"/>
  <c r="F18" i="1" s="1"/>
  <c r="H18" i="1" s="1"/>
  <c r="I18" i="1" s="1"/>
  <c r="AL18" i="1" s="1"/>
  <c r="E19" i="1"/>
  <c r="F19" i="1" s="1"/>
  <c r="E20" i="1"/>
  <c r="F20" i="1" s="1"/>
  <c r="H20" i="1" s="1"/>
  <c r="I20" i="1" s="1"/>
  <c r="AL20" i="1" s="1"/>
  <c r="E22" i="1"/>
  <c r="F22" i="1" s="1"/>
  <c r="H22" i="1" s="1"/>
  <c r="I22" i="1" s="1"/>
  <c r="AL22" i="1" s="1"/>
  <c r="E23" i="1"/>
  <c r="F23" i="1" s="1"/>
  <c r="E24" i="1"/>
  <c r="F24" i="1" s="1"/>
  <c r="H24" i="1" s="1"/>
  <c r="I24" i="1" s="1"/>
  <c r="AL24" i="1" s="1"/>
  <c r="E25" i="1"/>
  <c r="F25" i="1" s="1"/>
  <c r="H25" i="1" s="1"/>
  <c r="I25" i="1" s="1"/>
  <c r="AL25" i="1" s="1"/>
  <c r="E26" i="1"/>
  <c r="F26" i="1" s="1"/>
  <c r="H26" i="1" s="1"/>
  <c r="I26" i="1" s="1"/>
  <c r="AL26" i="1" s="1"/>
  <c r="E27" i="1"/>
  <c r="F27" i="1" s="1"/>
  <c r="E28" i="1"/>
  <c r="F28" i="1" s="1"/>
  <c r="H28" i="1" s="1"/>
  <c r="I28" i="1" s="1"/>
  <c r="AL28" i="1" s="1"/>
  <c r="E29" i="1"/>
  <c r="F29" i="1" s="1"/>
  <c r="H29" i="1" s="1"/>
  <c r="I29" i="1" s="1"/>
  <c r="AL29" i="1" s="1"/>
  <c r="E30" i="1"/>
  <c r="F30" i="1" s="1"/>
  <c r="H30" i="1" s="1"/>
  <c r="I30" i="1" s="1"/>
  <c r="AL30" i="1" s="1"/>
  <c r="E31" i="1"/>
  <c r="F31" i="1" s="1"/>
  <c r="E32" i="1"/>
  <c r="F32" i="1" s="1"/>
  <c r="H32" i="1" s="1"/>
  <c r="I32" i="1" s="1"/>
  <c r="AL32" i="1" s="1"/>
  <c r="E33" i="1"/>
  <c r="F33" i="1" s="1"/>
  <c r="H33" i="1" s="1"/>
  <c r="I33" i="1" s="1"/>
  <c r="AL33" i="1" s="1"/>
  <c r="E34" i="1"/>
  <c r="F34" i="1" s="1"/>
  <c r="H34" i="1" s="1"/>
  <c r="I34" i="1" s="1"/>
  <c r="AL34" i="1" s="1"/>
  <c r="E35" i="1"/>
  <c r="F35" i="1" s="1"/>
  <c r="E36" i="1"/>
  <c r="F36" i="1" s="1"/>
  <c r="H36" i="1" s="1"/>
  <c r="I36" i="1" s="1"/>
  <c r="AL36" i="1" s="1"/>
  <c r="E37" i="1"/>
  <c r="F37" i="1" s="1"/>
  <c r="H37" i="1" s="1"/>
  <c r="I37" i="1" s="1"/>
  <c r="AL37" i="1" s="1"/>
  <c r="E38" i="1"/>
  <c r="F38" i="1" s="1"/>
  <c r="H38" i="1" s="1"/>
  <c r="I38" i="1" s="1"/>
  <c r="AL38" i="1" s="1"/>
  <c r="E39" i="1"/>
  <c r="F39" i="1" s="1"/>
  <c r="E40" i="1"/>
  <c r="F40" i="1" s="1"/>
  <c r="H40" i="1" s="1"/>
  <c r="I40" i="1" s="1"/>
  <c r="AL40" i="1" s="1"/>
  <c r="E41" i="1"/>
  <c r="F41" i="1" s="1"/>
  <c r="H41" i="1" s="1"/>
  <c r="I41" i="1" s="1"/>
  <c r="AL41" i="1" s="1"/>
  <c r="E42" i="1"/>
  <c r="F42" i="1" s="1"/>
  <c r="H42" i="1" s="1"/>
  <c r="I42" i="1" s="1"/>
  <c r="AL42" i="1" s="1"/>
  <c r="E11" i="1"/>
  <c r="F11" i="1" s="1"/>
  <c r="H10" i="7" l="1"/>
  <c r="H9" i="7"/>
  <c r="J11" i="7"/>
  <c r="I9" i="7"/>
  <c r="I8" i="7"/>
  <c r="J12" i="7"/>
  <c r="J10" i="7" s="1"/>
  <c r="I10" i="7"/>
  <c r="H8" i="7"/>
  <c r="G7" i="6"/>
  <c r="G8" i="6"/>
  <c r="H9" i="6"/>
  <c r="I12" i="6"/>
  <c r="I11" i="6"/>
  <c r="H7" i="6"/>
  <c r="H8" i="6"/>
  <c r="G9" i="6"/>
  <c r="H39" i="1"/>
  <c r="I39" i="1" s="1"/>
  <c r="AL39" i="1" s="1"/>
  <c r="G39" i="1"/>
  <c r="H31" i="1"/>
  <c r="I31" i="1" s="1"/>
  <c r="AL31" i="1" s="1"/>
  <c r="G31" i="1"/>
  <c r="H23" i="1"/>
  <c r="I23" i="1" s="1"/>
  <c r="AL23" i="1" s="1"/>
  <c r="G23" i="1"/>
  <c r="H15" i="1"/>
  <c r="I15" i="1" s="1"/>
  <c r="AL15" i="1" s="1"/>
  <c r="G15" i="1"/>
  <c r="F8" i="1"/>
  <c r="F7" i="1"/>
  <c r="G11" i="1"/>
  <c r="H11" i="1"/>
  <c r="H35" i="1"/>
  <c r="I35" i="1" s="1"/>
  <c r="AL35" i="1" s="1"/>
  <c r="G35" i="1"/>
  <c r="H27" i="1"/>
  <c r="I27" i="1" s="1"/>
  <c r="AL27" i="1" s="1"/>
  <c r="G27" i="1"/>
  <c r="H19" i="1"/>
  <c r="I19" i="1" s="1"/>
  <c r="AL19" i="1" s="1"/>
  <c r="G19" i="1"/>
  <c r="G41" i="1"/>
  <c r="G37" i="1"/>
  <c r="G33" i="1"/>
  <c r="G29" i="1"/>
  <c r="G25" i="1"/>
  <c r="G17" i="1"/>
  <c r="G13" i="1"/>
  <c r="I12" i="1"/>
  <c r="E7" i="1"/>
  <c r="E8" i="1"/>
  <c r="E9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6" i="1"/>
  <c r="G14" i="1"/>
  <c r="G12" i="1"/>
  <c r="F9" i="1"/>
  <c r="J9" i="7" l="1"/>
  <c r="J8" i="7"/>
  <c r="Q11" i="7"/>
  <c r="Q9" i="7" s="1"/>
  <c r="I9" i="6"/>
  <c r="I8" i="6"/>
  <c r="AL11" i="6"/>
  <c r="AL10" i="6" s="1"/>
  <c r="I7" i="6"/>
  <c r="I9" i="1"/>
  <c r="AL12" i="1"/>
  <c r="G9" i="1"/>
  <c r="H8" i="1"/>
  <c r="H7" i="1"/>
  <c r="I11" i="1"/>
  <c r="AL11" i="1" s="1"/>
  <c r="AL43" i="1" s="1"/>
  <c r="H9" i="1"/>
  <c r="G8" i="1"/>
  <c r="G7" i="1"/>
  <c r="I8" i="1" l="1"/>
  <c r="I7" i="1"/>
</calcChain>
</file>

<file path=xl/sharedStrings.xml><?xml version="1.0" encoding="utf-8"?>
<sst xmlns="http://schemas.openxmlformats.org/spreadsheetml/2006/main" count="306" uniqueCount="72">
  <si>
    <t xml:space="preserve">가평군 </t>
  </si>
  <si>
    <t>무농약</t>
  </si>
  <si>
    <t>유기</t>
  </si>
  <si>
    <t xml:space="preserve">고양시 </t>
  </si>
  <si>
    <t xml:space="preserve">광주시 </t>
  </si>
  <si>
    <t xml:space="preserve">김포시 </t>
  </si>
  <si>
    <t xml:space="preserve">남양주시 </t>
  </si>
  <si>
    <t xml:space="preserve">부천시 </t>
  </si>
  <si>
    <t xml:space="preserve">성남시 </t>
  </si>
  <si>
    <t xml:space="preserve">수원시 </t>
  </si>
  <si>
    <t xml:space="preserve">안성시 </t>
  </si>
  <si>
    <t xml:space="preserve">양평군 </t>
  </si>
  <si>
    <t xml:space="preserve">여주군 </t>
  </si>
  <si>
    <t xml:space="preserve">연천군 </t>
  </si>
  <si>
    <t xml:space="preserve">용인시 </t>
  </si>
  <si>
    <t xml:space="preserve">의왕시 </t>
  </si>
  <si>
    <t xml:space="preserve">이천시 </t>
  </si>
  <si>
    <t xml:space="preserve">파주시 </t>
  </si>
  <si>
    <t xml:space="preserve">평택시 </t>
  </si>
  <si>
    <t xml:space="preserve">포천시 </t>
  </si>
  <si>
    <t xml:space="preserve">화성시 </t>
  </si>
  <si>
    <t>조곡생산량(kg)</t>
    <phoneticPr fontId="4" type="noConversion"/>
  </si>
  <si>
    <t>조곡(ton)</t>
    <phoneticPr fontId="4" type="noConversion"/>
  </si>
  <si>
    <t>쌀생산량(kg)</t>
    <phoneticPr fontId="4" type="noConversion"/>
  </si>
  <si>
    <t>쌀(ton)</t>
    <phoneticPr fontId="4" type="noConversion"/>
  </si>
  <si>
    <t>시군</t>
    <phoneticPr fontId="4" type="noConversion"/>
  </si>
  <si>
    <t>인증종류</t>
    <phoneticPr fontId="2" type="noConversion"/>
  </si>
  <si>
    <t>인원</t>
    <phoneticPr fontId="2" type="noConversion"/>
  </si>
  <si>
    <t>총계</t>
    <phoneticPr fontId="2" type="noConversion"/>
  </si>
  <si>
    <t>무농약</t>
    <phoneticPr fontId="2" type="noConversion"/>
  </si>
  <si>
    <t>유기</t>
    <phoneticPr fontId="2" type="noConversion"/>
  </si>
  <si>
    <t>생산량</t>
    <phoneticPr fontId="2" type="noConversion"/>
  </si>
  <si>
    <t>도정율</t>
    <phoneticPr fontId="2" type="noConversion"/>
  </si>
  <si>
    <t>평</t>
    <phoneticPr fontId="2" type="noConversion"/>
  </si>
  <si>
    <r>
      <t>2013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경기도친환경쌀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추정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생산량</t>
    </r>
    <r>
      <rPr>
        <b/>
        <sz val="12"/>
        <rFont val="Arial"/>
        <family val="2"/>
      </rPr>
      <t>(2013.9.11</t>
    </r>
    <r>
      <rPr>
        <b/>
        <sz val="12"/>
        <rFont val="돋움"/>
        <family val="3"/>
        <charset val="129"/>
      </rPr>
      <t>현재</t>
    </r>
    <r>
      <rPr>
        <b/>
        <sz val="12"/>
        <rFont val="Arial"/>
        <family val="2"/>
      </rPr>
      <t>)</t>
    </r>
    <phoneticPr fontId="2" type="noConversion"/>
  </si>
  <si>
    <r>
      <t>면적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㎡</t>
    </r>
    <r>
      <rPr>
        <b/>
        <sz val="10"/>
        <rFont val="Arial"/>
        <family val="2"/>
      </rPr>
      <t>)</t>
    </r>
  </si>
  <si>
    <r>
      <rPr>
        <b/>
        <sz val="10"/>
        <rFont val="돋움"/>
        <family val="3"/>
        <charset val="129"/>
      </rPr>
      <t>면적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평</t>
    </r>
    <r>
      <rPr>
        <b/>
        <sz val="10"/>
        <rFont val="Arial"/>
        <family val="2"/>
      </rPr>
      <t>)</t>
    </r>
    <phoneticPr fontId="2" type="noConversion"/>
  </si>
  <si>
    <r>
      <t xml:space="preserve">* </t>
    </r>
    <r>
      <rPr>
        <b/>
        <sz val="10"/>
        <rFont val="돋움"/>
        <family val="3"/>
        <charset val="129"/>
      </rPr>
      <t>품관원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친환경인증자료에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근거
</t>
    </r>
    <r>
      <rPr>
        <b/>
        <sz val="10"/>
        <rFont val="Arial"/>
        <family val="2"/>
      </rPr>
      <t xml:space="preserve">* </t>
    </r>
    <r>
      <rPr>
        <b/>
        <sz val="10"/>
        <rFont val="돋움"/>
        <family val="3"/>
        <charset val="129"/>
      </rPr>
      <t>평당</t>
    </r>
    <r>
      <rPr>
        <b/>
        <sz val="10"/>
        <rFont val="Arial"/>
        <family val="2"/>
      </rPr>
      <t xml:space="preserve"> 2.1Kg, </t>
    </r>
    <r>
      <rPr>
        <b/>
        <sz val="10"/>
        <rFont val="돋움"/>
        <family val="3"/>
        <charset val="129"/>
      </rPr>
      <t>도정율</t>
    </r>
    <r>
      <rPr>
        <b/>
        <sz val="10"/>
        <rFont val="Arial"/>
        <family val="2"/>
      </rPr>
      <t xml:space="preserve"> 70% </t>
    </r>
    <phoneticPr fontId="2" type="noConversion"/>
  </si>
  <si>
    <t>학생수</t>
    <phoneticPr fontId="2" type="noConversion"/>
  </si>
  <si>
    <r>
      <t>2</t>
    </r>
    <r>
      <rPr>
        <sz val="10"/>
        <rFont val="Arial"/>
        <family val="2"/>
      </rPr>
      <t>014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소비예상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수량</t>
    </r>
    <phoneticPr fontId="2" type="noConversion"/>
  </si>
  <si>
    <r>
      <rPr>
        <sz val="10"/>
        <rFont val="돋움"/>
        <family val="3"/>
        <charset val="129"/>
      </rPr>
      <t xml:space="preserve">학교수
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초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중</t>
    </r>
    <r>
      <rPr>
        <sz val="10"/>
        <rFont val="Arial"/>
        <family val="2"/>
      </rPr>
      <t>)</t>
    </r>
    <phoneticPr fontId="2" type="noConversion"/>
  </si>
  <si>
    <t>비고</t>
    <phoneticPr fontId="2" type="noConversion"/>
  </si>
  <si>
    <t>안양유치원포함(7,697명)</t>
    <phoneticPr fontId="2" type="noConversion"/>
  </si>
  <si>
    <t>부천시</t>
    <phoneticPr fontId="2" type="noConversion"/>
  </si>
  <si>
    <t>유치원 43톤 별도</t>
    <phoneticPr fontId="2" type="noConversion"/>
  </si>
  <si>
    <r>
      <rPr>
        <sz val="10"/>
        <rFont val="돋움"/>
        <family val="3"/>
        <charset val="129"/>
      </rPr>
      <t>안양</t>
    </r>
    <r>
      <rPr>
        <sz val="10"/>
        <rFont val="Arial"/>
        <family val="2"/>
      </rPr>
      <t>.</t>
    </r>
    <r>
      <rPr>
        <sz val="10"/>
        <rFont val="돋움"/>
        <family val="3"/>
        <charset val="129"/>
      </rPr>
      <t>군포</t>
    </r>
    <r>
      <rPr>
        <sz val="10"/>
        <rFont val="Arial"/>
        <family val="2"/>
      </rPr>
      <t>.</t>
    </r>
    <r>
      <rPr>
        <sz val="10"/>
        <rFont val="돋움"/>
        <family val="3"/>
        <charset val="129"/>
      </rPr>
      <t>의왕시</t>
    </r>
    <phoneticPr fontId="2" type="noConversion"/>
  </si>
  <si>
    <t>유치원제외</t>
    <phoneticPr fontId="2" type="noConversion"/>
  </si>
  <si>
    <t>수원시</t>
    <phoneticPr fontId="2" type="noConversion"/>
  </si>
  <si>
    <t>쌀소비
총량(톤)</t>
    <phoneticPr fontId="2" type="noConversion"/>
  </si>
  <si>
    <t>유치원제외</t>
    <phoneticPr fontId="2" type="noConversion"/>
  </si>
  <si>
    <t>시흥시</t>
    <phoneticPr fontId="2" type="noConversion"/>
  </si>
  <si>
    <t>전량 햇토미</t>
    <phoneticPr fontId="2" type="noConversion"/>
  </si>
  <si>
    <t>광명시</t>
    <phoneticPr fontId="2" type="noConversion"/>
  </si>
  <si>
    <t>하남시</t>
    <phoneticPr fontId="2" type="noConversion"/>
  </si>
  <si>
    <t>초교 12개교
 중교 6개교</t>
    <phoneticPr fontId="2" type="noConversion"/>
  </si>
  <si>
    <t>총계</t>
    <phoneticPr fontId="2" type="noConversion"/>
  </si>
  <si>
    <t>차이</t>
    <phoneticPr fontId="2" type="noConversion"/>
  </si>
  <si>
    <t>친환경쌀 소비량</t>
    <phoneticPr fontId="2" type="noConversion"/>
  </si>
  <si>
    <t>소비예상량</t>
    <phoneticPr fontId="2" type="noConversion"/>
  </si>
  <si>
    <t>무농약차이
(생산-소비)</t>
    <phoneticPr fontId="2" type="noConversion"/>
  </si>
  <si>
    <r>
      <t>2014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경기도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급식센터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무농약쌀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소비예상량</t>
    </r>
    <r>
      <rPr>
        <b/>
        <sz val="12"/>
        <rFont val="Arial"/>
        <family val="2"/>
      </rPr>
      <t xml:space="preserve"> (2013. 10 </t>
    </r>
    <r>
      <rPr>
        <b/>
        <sz val="12"/>
        <rFont val="돋움"/>
        <family val="3"/>
        <charset val="129"/>
      </rPr>
      <t>예상량</t>
    </r>
    <r>
      <rPr>
        <b/>
        <sz val="12"/>
        <rFont val="Arial"/>
        <family val="2"/>
      </rPr>
      <t>)</t>
    </r>
    <phoneticPr fontId="2" type="noConversion"/>
  </si>
  <si>
    <t>안양군포의왕</t>
    <phoneticPr fontId="2" type="noConversion"/>
  </si>
  <si>
    <t>부천</t>
    <phoneticPr fontId="2" type="noConversion"/>
  </si>
  <si>
    <t>광명</t>
    <phoneticPr fontId="2" type="noConversion"/>
  </si>
  <si>
    <t>하남</t>
    <phoneticPr fontId="2" type="noConversion"/>
  </si>
  <si>
    <t>생산현황</t>
    <phoneticPr fontId="2" type="noConversion"/>
  </si>
  <si>
    <r>
      <rPr>
        <sz val="10"/>
        <rFont val="돋움"/>
        <family val="3"/>
        <charset val="129"/>
      </rPr>
      <t>급식센터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소비현황</t>
    </r>
    <phoneticPr fontId="2" type="noConversion"/>
  </si>
  <si>
    <t>수원(유기농)</t>
    <phoneticPr fontId="2" type="noConversion"/>
  </si>
  <si>
    <t>무농약 총량</t>
    <phoneticPr fontId="2" type="noConversion"/>
  </si>
  <si>
    <t>소비총량</t>
    <phoneticPr fontId="2" type="noConversion"/>
  </si>
  <si>
    <t>유기재배</t>
    <phoneticPr fontId="2" type="noConversion"/>
  </si>
  <si>
    <t>유기재배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</si>
</sst>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#,##0_ "/>
    <numFmt numFmtId="178" formatCode="_-* #,##0_-;\-* #,##0_-;_-* \-_-;_-@_-"/>
  </numFmts>
  <fonts count="12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Arial"/>
      <family val="2"/>
    </font>
    <font>
      <b/>
      <sz val="12"/>
      <name val="돋움"/>
      <family val="3"/>
      <charset val="129"/>
    </font>
    <font>
      <b/>
      <sz val="10"/>
      <name val="Arial"/>
      <family val="2"/>
    </font>
    <font>
      <b/>
      <sz val="10"/>
      <name val="돋움"/>
      <family val="3"/>
      <charset val="129"/>
    </font>
    <font>
      <sz val="10"/>
      <name val="Arial"/>
      <family val="2"/>
    </font>
    <font>
      <sz val="10"/>
      <name val="나눔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178" fontId="11" fillId="0" borderId="0"/>
  </cellStyleXfs>
  <cellXfs count="17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177" fontId="0" fillId="0" borderId="4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77" fontId="0" fillId="0" borderId="10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177" fontId="0" fillId="0" borderId="15" xfId="0" applyNumberForma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1" fontId="8" fillId="3" borderId="1" xfId="1" applyFont="1" applyFill="1" applyBorder="1" applyAlignment="1">
      <alignment vertical="center"/>
    </xf>
    <xf numFmtId="41" fontId="8" fillId="4" borderId="4" xfId="1" applyFont="1" applyFill="1" applyBorder="1" applyAlignment="1">
      <alignment vertical="center"/>
    </xf>
    <xf numFmtId="177" fontId="0" fillId="0" borderId="0" xfId="0" applyNumberFormat="1" applyAlignment="1">
      <alignment vertical="center"/>
    </xf>
    <xf numFmtId="176" fontId="5" fillId="0" borderId="23" xfId="0" applyNumberFormat="1" applyFont="1" applyBorder="1" applyAlignment="1">
      <alignment horizontal="center" vertical="center"/>
    </xf>
    <xf numFmtId="41" fontId="8" fillId="3" borderId="24" xfId="1" applyFont="1" applyFill="1" applyBorder="1" applyAlignment="1">
      <alignment vertical="center"/>
    </xf>
    <xf numFmtId="41" fontId="8" fillId="4" borderId="25" xfId="1" applyFont="1" applyFill="1" applyBorder="1" applyAlignment="1">
      <alignment vertical="center"/>
    </xf>
    <xf numFmtId="177" fontId="0" fillId="0" borderId="27" xfId="0" applyNumberFormat="1" applyBorder="1" applyAlignment="1">
      <alignment vertical="center"/>
    </xf>
    <xf numFmtId="177" fontId="0" fillId="0" borderId="25" xfId="0" applyNumberFormat="1" applyBorder="1" applyAlignment="1">
      <alignment vertical="center"/>
    </xf>
    <xf numFmtId="177" fontId="0" fillId="0" borderId="26" xfId="0" applyNumberFormat="1" applyBorder="1" applyAlignment="1">
      <alignment vertical="center"/>
    </xf>
    <xf numFmtId="41" fontId="0" fillId="0" borderId="14" xfId="1" applyFont="1" applyBorder="1" applyAlignment="1">
      <alignment vertical="center"/>
    </xf>
    <xf numFmtId="41" fontId="0" fillId="0" borderId="15" xfId="1" applyFont="1" applyBorder="1" applyAlignment="1">
      <alignment vertical="center"/>
    </xf>
    <xf numFmtId="41" fontId="0" fillId="0" borderId="8" xfId="1" applyFont="1" applyBorder="1" applyAlignment="1">
      <alignment vertical="center"/>
    </xf>
    <xf numFmtId="41" fontId="0" fillId="0" borderId="4" xfId="1" applyFont="1" applyBorder="1" applyAlignment="1">
      <alignment vertical="center"/>
    </xf>
    <xf numFmtId="41" fontId="0" fillId="0" borderId="9" xfId="1" applyFont="1" applyBorder="1" applyAlignment="1">
      <alignment vertical="center"/>
    </xf>
    <xf numFmtId="41" fontId="0" fillId="0" borderId="10" xfId="1" applyFont="1" applyBorder="1" applyAlignment="1">
      <alignment vertical="center"/>
    </xf>
    <xf numFmtId="41" fontId="0" fillId="0" borderId="30" xfId="1" applyFont="1" applyBorder="1" applyAlignment="1">
      <alignment vertical="center"/>
    </xf>
    <xf numFmtId="41" fontId="0" fillId="0" borderId="28" xfId="1" applyFont="1" applyBorder="1" applyAlignment="1">
      <alignment vertical="center"/>
    </xf>
    <xf numFmtId="41" fontId="0" fillId="0" borderId="31" xfId="1" applyFont="1" applyBorder="1" applyAlignment="1">
      <alignment vertical="center"/>
    </xf>
    <xf numFmtId="41" fontId="10" fillId="0" borderId="4" xfId="1" applyFont="1" applyBorder="1" applyAlignment="1">
      <alignment vertical="center" wrapText="1"/>
    </xf>
    <xf numFmtId="41" fontId="3" fillId="0" borderId="28" xfId="1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41" fontId="0" fillId="0" borderId="34" xfId="1" applyFont="1" applyBorder="1" applyAlignment="1">
      <alignment vertical="center"/>
    </xf>
    <xf numFmtId="41" fontId="0" fillId="0" borderId="35" xfId="1" applyFont="1" applyBorder="1" applyAlignment="1">
      <alignment vertical="center"/>
    </xf>
    <xf numFmtId="41" fontId="3" fillId="0" borderId="35" xfId="1" applyFont="1" applyBorder="1" applyAlignment="1">
      <alignment vertical="center" wrapText="1"/>
    </xf>
    <xf numFmtId="41" fontId="0" fillId="0" borderId="36" xfId="1" applyFont="1" applyBorder="1" applyAlignment="1">
      <alignment vertical="center"/>
    </xf>
    <xf numFmtId="41" fontId="10" fillId="0" borderId="35" xfId="1" applyFont="1" applyBorder="1" applyAlignment="1">
      <alignment vertical="center"/>
    </xf>
    <xf numFmtId="41" fontId="0" fillId="0" borderId="38" xfId="1" applyFont="1" applyBorder="1" applyAlignment="1">
      <alignment vertical="center"/>
    </xf>
    <xf numFmtId="41" fontId="0" fillId="0" borderId="39" xfId="1" applyFont="1" applyBorder="1" applyAlignment="1">
      <alignment vertical="center"/>
    </xf>
    <xf numFmtId="41" fontId="3" fillId="0" borderId="35" xfId="1" applyFont="1" applyBorder="1" applyAlignment="1">
      <alignment vertical="center"/>
    </xf>
    <xf numFmtId="41" fontId="10" fillId="0" borderId="41" xfId="1" applyFont="1" applyBorder="1" applyAlignment="1">
      <alignment vertical="center" wrapText="1"/>
    </xf>
    <xf numFmtId="41" fontId="3" fillId="0" borderId="40" xfId="1" applyFont="1" applyBorder="1" applyAlignment="1">
      <alignment vertical="center"/>
    </xf>
    <xf numFmtId="41" fontId="0" fillId="0" borderId="40" xfId="1" applyFont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3" fillId="0" borderId="42" xfId="1" applyFont="1" applyBorder="1" applyAlignment="1">
      <alignment horizontal="center" vertical="center"/>
    </xf>
    <xf numFmtId="41" fontId="8" fillId="2" borderId="39" xfId="1" applyFont="1" applyFill="1" applyBorder="1" applyAlignment="1">
      <alignment vertical="center"/>
    </xf>
    <xf numFmtId="41" fontId="8" fillId="2" borderId="45" xfId="1" applyFont="1" applyFill="1" applyBorder="1" applyAlignment="1">
      <alignment vertical="center"/>
    </xf>
    <xf numFmtId="41" fontId="3" fillId="0" borderId="46" xfId="1" applyFont="1" applyBorder="1" applyAlignment="1">
      <alignment vertical="center"/>
    </xf>
    <xf numFmtId="41" fontId="3" fillId="5" borderId="33" xfId="1" applyFont="1" applyFill="1" applyBorder="1" applyAlignment="1">
      <alignment horizontal="center" vertical="center"/>
    </xf>
    <xf numFmtId="41" fontId="3" fillId="5" borderId="33" xfId="1" applyFont="1" applyFill="1" applyBorder="1" applyAlignment="1">
      <alignment vertical="center"/>
    </xf>
    <xf numFmtId="41" fontId="3" fillId="5" borderId="32" xfId="1" applyFont="1" applyFill="1" applyBorder="1" applyAlignment="1">
      <alignment vertical="center"/>
    </xf>
    <xf numFmtId="41" fontId="0" fillId="5" borderId="32" xfId="1" applyFont="1" applyFill="1" applyBorder="1" applyAlignment="1">
      <alignment vertical="center"/>
    </xf>
    <xf numFmtId="41" fontId="3" fillId="5" borderId="32" xfId="1" applyFont="1" applyFill="1" applyBorder="1" applyAlignment="1">
      <alignment horizontal="center" vertical="center" wrapText="1"/>
    </xf>
    <xf numFmtId="41" fontId="10" fillId="5" borderId="22" xfId="1" applyFont="1" applyFill="1" applyBorder="1" applyAlignment="1">
      <alignment vertical="center" wrapText="1"/>
    </xf>
    <xf numFmtId="41" fontId="0" fillId="5" borderId="33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178" fontId="11" fillId="0" borderId="8" xfId="2" applyFont="1" applyFill="1" applyBorder="1" applyAlignment="1" applyProtection="1">
      <alignment vertical="center"/>
    </xf>
    <xf numFmtId="178" fontId="11" fillId="0" borderId="4" xfId="2" applyFont="1" applyFill="1" applyBorder="1" applyAlignment="1" applyProtection="1">
      <alignment vertical="center"/>
    </xf>
    <xf numFmtId="178" fontId="10" fillId="0" borderId="4" xfId="2" applyFont="1" applyFill="1" applyBorder="1" applyAlignment="1" applyProtection="1">
      <alignment vertical="center" wrapText="1"/>
    </xf>
    <xf numFmtId="178" fontId="3" fillId="0" borderId="35" xfId="2" applyFont="1" applyFill="1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1" fontId="0" fillId="0" borderId="41" xfId="1" applyFont="1" applyBorder="1" applyAlignment="1">
      <alignment vertical="center"/>
    </xf>
    <xf numFmtId="0" fontId="10" fillId="0" borderId="47" xfId="0" applyFont="1" applyBorder="1" applyAlignment="1">
      <alignment horizontal="center" vertical="center" wrapText="1"/>
    </xf>
    <xf numFmtId="41" fontId="0" fillId="0" borderId="3" xfId="1" applyFont="1" applyBorder="1" applyAlignment="1">
      <alignment vertical="center"/>
    </xf>
    <xf numFmtId="41" fontId="0" fillId="0" borderId="1" xfId="1" applyFont="1" applyBorder="1" applyAlignment="1">
      <alignment vertical="center"/>
    </xf>
    <xf numFmtId="41" fontId="0" fillId="0" borderId="29" xfId="1" applyFont="1" applyBorder="1" applyAlignment="1">
      <alignment vertical="center"/>
    </xf>
    <xf numFmtId="41" fontId="0" fillId="0" borderId="52" xfId="1" applyFont="1" applyBorder="1" applyAlignment="1">
      <alignment vertical="center"/>
    </xf>
    <xf numFmtId="41" fontId="0" fillId="0" borderId="21" xfId="1" applyFont="1" applyBorder="1" applyAlignment="1">
      <alignment vertical="center"/>
    </xf>
    <xf numFmtId="41" fontId="0" fillId="0" borderId="0" xfId="1" applyFont="1" applyAlignment="1"/>
    <xf numFmtId="41" fontId="3" fillId="0" borderId="0" xfId="1" applyFont="1" applyAlignment="1"/>
    <xf numFmtId="41" fontId="0" fillId="0" borderId="0" xfId="0" applyNumberFormat="1"/>
    <xf numFmtId="41" fontId="0" fillId="0" borderId="0" xfId="0" applyNumberFormat="1" applyAlignment="1">
      <alignment vertical="center"/>
    </xf>
    <xf numFmtId="41" fontId="3" fillId="0" borderId="45" xfId="1" applyFont="1" applyBorder="1" applyAlignment="1">
      <alignment vertical="center"/>
    </xf>
    <xf numFmtId="41" fontId="0" fillId="0" borderId="53" xfId="1" applyFont="1" applyBorder="1" applyAlignment="1">
      <alignment vertical="center"/>
    </xf>
    <xf numFmtId="41" fontId="10" fillId="0" borderId="28" xfId="1" applyFont="1" applyBorder="1" applyAlignment="1">
      <alignment vertical="center"/>
    </xf>
    <xf numFmtId="41" fontId="3" fillId="0" borderId="28" xfId="1" applyFont="1" applyBorder="1" applyAlignment="1">
      <alignment vertical="center"/>
    </xf>
    <xf numFmtId="178" fontId="3" fillId="0" borderId="28" xfId="2" applyFont="1" applyFill="1" applyBorder="1" applyAlignment="1" applyProtection="1">
      <alignment vertical="center" wrapText="1"/>
    </xf>
    <xf numFmtId="0" fontId="10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0" fillId="0" borderId="46" xfId="1" applyFont="1" applyBorder="1" applyAlignment="1">
      <alignment vertical="center"/>
    </xf>
    <xf numFmtId="41" fontId="0" fillId="0" borderId="19" xfId="1" applyFont="1" applyBorder="1" applyAlignment="1">
      <alignment vertical="center"/>
    </xf>
    <xf numFmtId="41" fontId="3" fillId="0" borderId="16" xfId="1" applyFont="1" applyBorder="1" applyAlignment="1">
      <alignment vertical="center"/>
    </xf>
    <xf numFmtId="41" fontId="3" fillId="0" borderId="7" xfId="1" applyFont="1" applyBorder="1" applyAlignment="1">
      <alignment vertical="center"/>
    </xf>
    <xf numFmtId="41" fontId="3" fillId="0" borderId="11" xfId="1" applyFont="1" applyBorder="1" applyAlignment="1">
      <alignment vertical="center"/>
    </xf>
    <xf numFmtId="41" fontId="3" fillId="0" borderId="2" xfId="1" applyFont="1" applyBorder="1" applyAlignment="1">
      <alignment horizontal="center" vertical="center" wrapText="1"/>
    </xf>
    <xf numFmtId="0" fontId="10" fillId="0" borderId="0" xfId="0" applyFont="1"/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1" fontId="3" fillId="5" borderId="4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41" fontId="10" fillId="0" borderId="8" xfId="1" applyFont="1" applyBorder="1" applyAlignment="1">
      <alignment vertical="center" wrapText="1"/>
    </xf>
    <xf numFmtId="41" fontId="3" fillId="5" borderId="10" xfId="1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/>
    </xf>
    <xf numFmtId="177" fontId="0" fillId="0" borderId="7" xfId="0" applyNumberForma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41" fontId="8" fillId="3" borderId="39" xfId="1" applyFont="1" applyFill="1" applyBorder="1" applyAlignment="1">
      <alignment vertical="center"/>
    </xf>
    <xf numFmtId="41" fontId="8" fillId="3" borderId="46" xfId="1" applyFont="1" applyFill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41" fontId="8" fillId="2" borderId="15" xfId="1" applyFont="1" applyFill="1" applyBorder="1" applyAlignment="1">
      <alignment vertical="center"/>
    </xf>
    <xf numFmtId="41" fontId="8" fillId="2" borderId="16" xfId="1" applyFont="1" applyFill="1" applyBorder="1" applyAlignment="1">
      <alignment vertical="center"/>
    </xf>
    <xf numFmtId="41" fontId="0" fillId="0" borderId="14" xfId="1" applyFont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3" fillId="5" borderId="15" xfId="1" applyFont="1" applyFill="1" applyBorder="1" applyAlignment="1">
      <alignment horizontal="center" vertical="center" wrapText="1"/>
    </xf>
    <xf numFmtId="41" fontId="8" fillId="4" borderId="18" xfId="1" applyFont="1" applyFill="1" applyBorder="1" applyAlignment="1">
      <alignment vertical="center"/>
    </xf>
    <xf numFmtId="41" fontId="8" fillId="4" borderId="19" xfId="1" applyFont="1" applyFill="1" applyBorder="1" applyAlignment="1">
      <alignment vertical="center"/>
    </xf>
    <xf numFmtId="41" fontId="3" fillId="2" borderId="17" xfId="1" applyFont="1" applyFill="1" applyBorder="1" applyAlignment="1">
      <alignment horizontal="center" vertical="center" wrapText="1"/>
    </xf>
    <xf numFmtId="41" fontId="3" fillId="2" borderId="18" xfId="1" applyFont="1" applyFill="1" applyBorder="1" applyAlignment="1">
      <alignment horizontal="center" vertical="center" wrapText="1"/>
    </xf>
    <xf numFmtId="41" fontId="3" fillId="0" borderId="25" xfId="1" applyFont="1" applyBorder="1" applyAlignment="1">
      <alignment horizontal="center" vertical="center" wrapText="1"/>
    </xf>
    <xf numFmtId="0" fontId="3" fillId="0" borderId="45" xfId="0" applyFont="1" applyBorder="1" applyAlignment="1">
      <alignment vertical="center"/>
    </xf>
    <xf numFmtId="41" fontId="0" fillId="2" borderId="23" xfId="1" applyFont="1" applyFill="1" applyBorder="1" applyAlignment="1">
      <alignment vertical="center"/>
    </xf>
    <xf numFmtId="41" fontId="0" fillId="0" borderId="27" xfId="1" applyFont="1" applyBorder="1" applyAlignment="1">
      <alignment vertical="center"/>
    </xf>
    <xf numFmtId="41" fontId="3" fillId="0" borderId="25" xfId="1" applyFont="1" applyBorder="1" applyAlignment="1">
      <alignment vertical="center"/>
    </xf>
    <xf numFmtId="41" fontId="3" fillId="0" borderId="26" xfId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3">
    <cellStyle name="TableStyleLight1" xfId="2"/>
    <cellStyle name="쉼표 [0]" xfId="1" builtinId="6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2"/>
  <sheetViews>
    <sheetView tabSelected="1" topLeftCell="A3" zoomScale="110" zoomScaleNormal="110" workbookViewId="0">
      <selection activeCell="T9" sqref="T9"/>
    </sheetView>
  </sheetViews>
  <sheetFormatPr defaultRowHeight="12.75"/>
  <cols>
    <col min="1" max="1" width="3.85546875" customWidth="1"/>
    <col min="4" max="8" width="9.140625" hidden="1" customWidth="1"/>
    <col min="9" max="9" width="13.42578125" hidden="1" customWidth="1"/>
    <col min="10" max="10" width="12.28515625" customWidth="1"/>
    <col min="11" max="11" width="13.7109375" bestFit="1" customWidth="1"/>
    <col min="12" max="12" width="6.5703125" bestFit="1" customWidth="1"/>
    <col min="13" max="13" width="13.42578125" bestFit="1" customWidth="1"/>
    <col min="14" max="15" width="9" customWidth="1"/>
    <col min="16" max="16" width="9.28515625" bestFit="1" customWidth="1"/>
    <col min="17" max="17" width="12.28515625" bestFit="1" customWidth="1"/>
    <col min="18" max="18" width="11.42578125" style="69" customWidth="1"/>
  </cols>
  <sheetData>
    <row r="1" spans="2:18" hidden="1">
      <c r="B1" s="2" t="s">
        <v>33</v>
      </c>
      <c r="C1" s="2" t="s">
        <v>31</v>
      </c>
      <c r="D1" s="2" t="s">
        <v>32</v>
      </c>
      <c r="E1" s="1"/>
      <c r="F1" s="1"/>
      <c r="G1" s="1"/>
      <c r="H1" s="1"/>
      <c r="I1" s="1"/>
      <c r="J1" s="1"/>
      <c r="K1" s="1"/>
      <c r="L1" s="1"/>
      <c r="M1" s="1"/>
      <c r="N1" s="1"/>
      <c r="Q1" s="91"/>
    </row>
    <row r="2" spans="2:18" hidden="1">
      <c r="B2" s="1">
        <v>0.30249999999999999</v>
      </c>
      <c r="C2" s="1">
        <v>2.1</v>
      </c>
      <c r="D2" s="1">
        <v>0.7</v>
      </c>
      <c r="E2" s="1"/>
      <c r="F2" s="1"/>
      <c r="G2" s="1"/>
      <c r="H2" s="1"/>
      <c r="I2" s="1"/>
      <c r="J2" s="1"/>
      <c r="K2" s="1"/>
      <c r="L2" s="1"/>
      <c r="M2" s="1"/>
      <c r="N2" s="1"/>
      <c r="Q2" s="91"/>
    </row>
    <row r="3" spans="2:18" ht="40.5" customHeight="1">
      <c r="B3" s="149" t="s">
        <v>60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4" spans="2:18">
      <c r="B4" s="150" t="s">
        <v>37</v>
      </c>
      <c r="C4" s="151"/>
      <c r="D4" s="151"/>
      <c r="E4" s="151"/>
      <c r="F4" s="151"/>
      <c r="G4" s="151"/>
      <c r="H4" s="151"/>
      <c r="I4" s="151"/>
      <c r="J4" s="151"/>
      <c r="K4" s="1"/>
      <c r="L4" s="1"/>
      <c r="M4" s="1"/>
      <c r="N4" s="1"/>
      <c r="Q4" s="91"/>
    </row>
    <row r="5" spans="2:18" ht="13.5" thickBot="1">
      <c r="B5" s="62"/>
      <c r="C5" s="63"/>
      <c r="D5" s="63"/>
      <c r="E5" s="63"/>
      <c r="F5" s="63"/>
      <c r="G5" s="63"/>
      <c r="H5" s="63"/>
      <c r="I5" s="63"/>
      <c r="J5" s="63"/>
      <c r="K5" s="1"/>
      <c r="L5" s="1"/>
      <c r="M5" s="1"/>
      <c r="N5" s="1"/>
      <c r="Q5" s="91"/>
    </row>
    <row r="6" spans="2:18" ht="25.5" customHeight="1">
      <c r="B6" s="140" t="s">
        <v>65</v>
      </c>
      <c r="C6" s="141"/>
      <c r="D6" s="141"/>
      <c r="E6" s="141"/>
      <c r="F6" s="141"/>
      <c r="G6" s="141"/>
      <c r="H6" s="141"/>
      <c r="I6" s="141"/>
      <c r="J6" s="142"/>
      <c r="K6" s="143" t="s">
        <v>66</v>
      </c>
      <c r="L6" s="141"/>
      <c r="M6" s="141"/>
      <c r="N6" s="141"/>
      <c r="O6" s="141"/>
      <c r="P6" s="141"/>
      <c r="Q6" s="144"/>
      <c r="R6" s="131" t="s">
        <v>41</v>
      </c>
    </row>
    <row r="7" spans="2:18" ht="28.5" customHeight="1" thickBot="1">
      <c r="B7" s="64" t="s">
        <v>25</v>
      </c>
      <c r="C7" s="99" t="s">
        <v>26</v>
      </c>
      <c r="D7" s="99" t="s">
        <v>27</v>
      </c>
      <c r="E7" s="99" t="s">
        <v>35</v>
      </c>
      <c r="F7" s="100" t="s">
        <v>36</v>
      </c>
      <c r="G7" s="101" t="s">
        <v>21</v>
      </c>
      <c r="H7" s="101" t="s">
        <v>22</v>
      </c>
      <c r="I7" s="101" t="s">
        <v>23</v>
      </c>
      <c r="J7" s="108" t="s">
        <v>24</v>
      </c>
      <c r="K7" s="105" t="s">
        <v>61</v>
      </c>
      <c r="L7" s="102" t="s">
        <v>62</v>
      </c>
      <c r="M7" s="102" t="s">
        <v>67</v>
      </c>
      <c r="N7" s="102" t="s">
        <v>63</v>
      </c>
      <c r="O7" s="102" t="s">
        <v>64</v>
      </c>
      <c r="P7" s="103" t="s">
        <v>48</v>
      </c>
      <c r="Q7" s="125" t="s">
        <v>59</v>
      </c>
      <c r="R7" s="132"/>
    </row>
    <row r="8" spans="2:18" ht="14.25" hidden="1" thickBot="1">
      <c r="B8" s="152" t="s">
        <v>28</v>
      </c>
      <c r="C8" s="153"/>
      <c r="D8" s="111">
        <f t="shared" ref="D8:J8" si="0">SUM(D11:D42)</f>
        <v>2774</v>
      </c>
      <c r="E8" s="111">
        <f t="shared" si="0"/>
        <v>25542263.149999999</v>
      </c>
      <c r="F8" s="111">
        <f t="shared" si="0"/>
        <v>7731654.4553750008</v>
      </c>
      <c r="G8" s="111">
        <f t="shared" si="0"/>
        <v>16236474.356287492</v>
      </c>
      <c r="H8" s="111">
        <f t="shared" si="0"/>
        <v>16238.674356287496</v>
      </c>
      <c r="I8" s="111">
        <f t="shared" si="0"/>
        <v>11365532.049401248</v>
      </c>
      <c r="J8" s="112">
        <f t="shared" si="0"/>
        <v>11367.072049401251</v>
      </c>
      <c r="K8" s="113"/>
      <c r="L8" s="114"/>
      <c r="M8" s="114"/>
      <c r="N8" s="114"/>
      <c r="O8" s="114"/>
      <c r="P8" s="115"/>
      <c r="Q8" s="126"/>
      <c r="R8" s="133"/>
    </row>
    <row r="9" spans="2:18" ht="22.5" customHeight="1" thickBot="1">
      <c r="B9" s="145" t="s">
        <v>68</v>
      </c>
      <c r="C9" s="146"/>
      <c r="D9" s="121">
        <f t="shared" ref="D9:J9" si="1">SUM(D11,D13,D14,D15,D17,D19,D20,D22,D24,D26,D28,D30,D32,D33,D35,D37,D39,D41)</f>
        <v>2051</v>
      </c>
      <c r="E9" s="121">
        <f t="shared" si="1"/>
        <v>17788811.949999999</v>
      </c>
      <c r="F9" s="121">
        <f t="shared" si="1"/>
        <v>5381115.614875</v>
      </c>
      <c r="G9" s="121">
        <f t="shared" si="1"/>
        <v>11300342.791237498</v>
      </c>
      <c r="H9" s="121">
        <f t="shared" si="1"/>
        <v>11300.342791237499</v>
      </c>
      <c r="I9" s="121">
        <f t="shared" si="1"/>
        <v>7910239.953866249</v>
      </c>
      <c r="J9" s="122">
        <f t="shared" si="1"/>
        <v>7910.2399538662503</v>
      </c>
      <c r="K9" s="123">
        <f>SUM(K11:K42)</f>
        <v>1750</v>
      </c>
      <c r="L9" s="124">
        <f t="shared" ref="L9:O9" si="2">SUM(L11:L42)</f>
        <v>200</v>
      </c>
      <c r="M9" s="124">
        <f t="shared" si="2"/>
        <v>48</v>
      </c>
      <c r="N9" s="124">
        <f t="shared" si="2"/>
        <v>764</v>
      </c>
      <c r="O9" s="124">
        <f t="shared" si="2"/>
        <v>141.19999999999999</v>
      </c>
      <c r="P9" s="124">
        <f>SUM(K9:O9)</f>
        <v>2903.2</v>
      </c>
      <c r="Q9" s="127">
        <f>SUM(Q10:Q40)</f>
        <v>5141.5394857662504</v>
      </c>
      <c r="R9" s="134" t="s">
        <v>69</v>
      </c>
    </row>
    <row r="10" spans="2:18" ht="13.5" hidden="1">
      <c r="B10" s="147" t="s">
        <v>30</v>
      </c>
      <c r="C10" s="148"/>
      <c r="D10" s="116">
        <f t="shared" ref="D10:J10" si="3">SUM(D12,D16,D18,D21,D23,D25,D27,D29,D31,D34,D36,D38,D40,D42)</f>
        <v>723</v>
      </c>
      <c r="E10" s="116">
        <f t="shared" si="3"/>
        <v>7753451.2000000002</v>
      </c>
      <c r="F10" s="116">
        <f t="shared" si="3"/>
        <v>2350538.8404999999</v>
      </c>
      <c r="G10" s="116">
        <f t="shared" si="3"/>
        <v>4936131.5650500003</v>
      </c>
      <c r="H10" s="116">
        <f t="shared" si="3"/>
        <v>4938.3315650499999</v>
      </c>
      <c r="I10" s="116">
        <f t="shared" si="3"/>
        <v>3455292.0955349994</v>
      </c>
      <c r="J10" s="117">
        <f t="shared" si="3"/>
        <v>3456.832095535</v>
      </c>
      <c r="K10" s="118"/>
      <c r="L10" s="119"/>
      <c r="M10" s="24"/>
      <c r="N10" s="24"/>
      <c r="O10" s="24"/>
      <c r="P10" s="120">
        <f t="shared" ref="P10:P42" si="4">SUM(K10:O10)</f>
        <v>0</v>
      </c>
      <c r="Q10" s="128"/>
      <c r="R10" s="135"/>
    </row>
    <row r="11" spans="2:18">
      <c r="B11" s="138" t="s">
        <v>0</v>
      </c>
      <c r="C11" s="3" t="s">
        <v>1</v>
      </c>
      <c r="D11" s="3">
        <v>260</v>
      </c>
      <c r="E11" s="4">
        <v>1835316.32</v>
      </c>
      <c r="F11" s="4">
        <f t="shared" ref="F11:F20" si="5">E11*$B$2</f>
        <v>555183.18680000002</v>
      </c>
      <c r="G11" s="4">
        <f t="shared" ref="G11:G42" si="6">F11*$C$2</f>
        <v>1165884.6922800001</v>
      </c>
      <c r="H11" s="4">
        <f>G11/1000</f>
        <v>1165.8846922800001</v>
      </c>
      <c r="I11" s="4">
        <f t="shared" ref="I11:I42" si="7">G11*$D$2</f>
        <v>816119.28459599998</v>
      </c>
      <c r="J11" s="109">
        <f>I11/1000</f>
        <v>816.11928459599994</v>
      </c>
      <c r="K11" s="25">
        <v>500</v>
      </c>
      <c r="L11" s="26"/>
      <c r="M11" s="26"/>
      <c r="N11" s="26"/>
      <c r="O11" s="26"/>
      <c r="P11" s="104">
        <f t="shared" si="4"/>
        <v>500</v>
      </c>
      <c r="Q11" s="129">
        <f>J11-P11</f>
        <v>316.11928459599994</v>
      </c>
      <c r="R11" s="132"/>
    </row>
    <row r="12" spans="2:18">
      <c r="B12" s="138"/>
      <c r="C12" s="3" t="s">
        <v>2</v>
      </c>
      <c r="D12" s="3">
        <v>3</v>
      </c>
      <c r="E12" s="4">
        <v>27368</v>
      </c>
      <c r="F12" s="4">
        <f t="shared" si="5"/>
        <v>8278.82</v>
      </c>
      <c r="G12" s="4">
        <f t="shared" si="6"/>
        <v>17385.522000000001</v>
      </c>
      <c r="H12" s="4">
        <f t="shared" ref="H12:H42" si="8">G12/1000</f>
        <v>17.385522000000002</v>
      </c>
      <c r="I12" s="4">
        <f t="shared" si="7"/>
        <v>12169.865400000001</v>
      </c>
      <c r="J12" s="109">
        <f t="shared" ref="J12:J42" si="9">I12/1000</f>
        <v>12.169865400000001</v>
      </c>
      <c r="K12" s="25"/>
      <c r="L12" s="26"/>
      <c r="M12" s="26"/>
      <c r="N12" s="26"/>
      <c r="O12" s="26"/>
      <c r="P12" s="104">
        <f t="shared" si="4"/>
        <v>0</v>
      </c>
      <c r="Q12" s="129"/>
      <c r="R12" s="132"/>
    </row>
    <row r="13" spans="2:18">
      <c r="B13" s="61" t="s">
        <v>3</v>
      </c>
      <c r="C13" s="3" t="s">
        <v>1</v>
      </c>
      <c r="D13" s="3">
        <v>20</v>
      </c>
      <c r="E13" s="4">
        <v>149057</v>
      </c>
      <c r="F13" s="4">
        <f t="shared" si="5"/>
        <v>45089.7425</v>
      </c>
      <c r="G13" s="4">
        <f t="shared" si="6"/>
        <v>94688.45925</v>
      </c>
      <c r="H13" s="4">
        <f t="shared" si="8"/>
        <v>94.688459249999994</v>
      </c>
      <c r="I13" s="4">
        <f t="shared" si="7"/>
        <v>66281.921474999996</v>
      </c>
      <c r="J13" s="109">
        <f t="shared" si="9"/>
        <v>66.28192147499999</v>
      </c>
      <c r="K13" s="25"/>
      <c r="L13" s="26"/>
      <c r="M13" s="26"/>
      <c r="N13" s="26"/>
      <c r="O13" s="26"/>
      <c r="P13" s="104">
        <f t="shared" si="4"/>
        <v>0</v>
      </c>
      <c r="Q13" s="129">
        <f>J13-P13</f>
        <v>66.28192147499999</v>
      </c>
      <c r="R13" s="132"/>
    </row>
    <row r="14" spans="2:18">
      <c r="B14" s="61" t="s">
        <v>4</v>
      </c>
      <c r="C14" s="3" t="s">
        <v>1</v>
      </c>
      <c r="D14" s="3">
        <v>171</v>
      </c>
      <c r="E14" s="4">
        <v>1255059</v>
      </c>
      <c r="F14" s="4">
        <f t="shared" si="5"/>
        <v>379655.34749999997</v>
      </c>
      <c r="G14" s="4">
        <f t="shared" si="6"/>
        <v>797276.22974999994</v>
      </c>
      <c r="H14" s="4">
        <f t="shared" si="8"/>
        <v>797.27622974999997</v>
      </c>
      <c r="I14" s="4">
        <f t="shared" si="7"/>
        <v>558093.36082499987</v>
      </c>
      <c r="J14" s="109">
        <f t="shared" si="9"/>
        <v>558.09336082499988</v>
      </c>
      <c r="K14" s="25"/>
      <c r="L14" s="26"/>
      <c r="M14" s="26"/>
      <c r="N14" s="26"/>
      <c r="O14" s="26"/>
      <c r="P14" s="104">
        <f t="shared" si="4"/>
        <v>0</v>
      </c>
      <c r="Q14" s="129">
        <f>J14-P14</f>
        <v>558.09336082499988</v>
      </c>
      <c r="R14" s="132"/>
    </row>
    <row r="15" spans="2:18">
      <c r="B15" s="138" t="s">
        <v>5</v>
      </c>
      <c r="C15" s="3" t="s">
        <v>1</v>
      </c>
      <c r="D15" s="3">
        <v>45</v>
      </c>
      <c r="E15" s="4">
        <v>1033092</v>
      </c>
      <c r="F15" s="4">
        <f t="shared" si="5"/>
        <v>312510.33</v>
      </c>
      <c r="G15" s="4">
        <f t="shared" si="6"/>
        <v>656271.69300000009</v>
      </c>
      <c r="H15" s="4">
        <f t="shared" si="8"/>
        <v>656.27169300000014</v>
      </c>
      <c r="I15" s="4">
        <f t="shared" si="7"/>
        <v>459390.1851</v>
      </c>
      <c r="J15" s="109">
        <f t="shared" si="9"/>
        <v>459.3901851</v>
      </c>
      <c r="K15" s="25"/>
      <c r="L15" s="26"/>
      <c r="M15" s="26"/>
      <c r="N15" s="26"/>
      <c r="O15" s="26"/>
      <c r="P15" s="104">
        <f t="shared" si="4"/>
        <v>0</v>
      </c>
      <c r="Q15" s="129">
        <f>J15-P15</f>
        <v>459.3901851</v>
      </c>
      <c r="R15" s="132"/>
    </row>
    <row r="16" spans="2:18">
      <c r="B16" s="138"/>
      <c r="C16" s="3" t="s">
        <v>2</v>
      </c>
      <c r="D16" s="3">
        <v>6</v>
      </c>
      <c r="E16" s="4">
        <v>79132</v>
      </c>
      <c r="F16" s="4">
        <f t="shared" si="5"/>
        <v>23937.43</v>
      </c>
      <c r="G16" s="4">
        <f t="shared" si="6"/>
        <v>50268.603000000003</v>
      </c>
      <c r="H16" s="4">
        <f t="shared" si="8"/>
        <v>50.268603000000006</v>
      </c>
      <c r="I16" s="4">
        <f t="shared" si="7"/>
        <v>35188.022100000002</v>
      </c>
      <c r="J16" s="109">
        <f t="shared" si="9"/>
        <v>35.188022100000005</v>
      </c>
      <c r="K16" s="25"/>
      <c r="L16" s="26"/>
      <c r="M16" s="26"/>
      <c r="N16" s="26"/>
      <c r="O16" s="26"/>
      <c r="P16" s="104">
        <f t="shared" si="4"/>
        <v>0</v>
      </c>
      <c r="Q16" s="129"/>
      <c r="R16" s="132"/>
    </row>
    <row r="17" spans="2:18">
      <c r="B17" s="138" t="s">
        <v>6</v>
      </c>
      <c r="C17" s="3" t="s">
        <v>1</v>
      </c>
      <c r="D17" s="3">
        <v>97</v>
      </c>
      <c r="E17" s="4">
        <v>470726.5</v>
      </c>
      <c r="F17" s="4">
        <f t="shared" si="5"/>
        <v>142394.76624999999</v>
      </c>
      <c r="G17" s="4">
        <f t="shared" si="6"/>
        <v>299029.00912499998</v>
      </c>
      <c r="H17" s="4">
        <f t="shared" si="8"/>
        <v>299.02900912499996</v>
      </c>
      <c r="I17" s="4">
        <f t="shared" si="7"/>
        <v>209320.30638749996</v>
      </c>
      <c r="J17" s="109">
        <f t="shared" si="9"/>
        <v>209.32030638749995</v>
      </c>
      <c r="K17" s="25"/>
      <c r="L17" s="26"/>
      <c r="M17" s="26"/>
      <c r="N17" s="26"/>
      <c r="O17" s="26"/>
      <c r="P17" s="104">
        <f t="shared" si="4"/>
        <v>0</v>
      </c>
      <c r="Q17" s="129">
        <f>J17-P17</f>
        <v>209.32030638749995</v>
      </c>
      <c r="R17" s="132"/>
    </row>
    <row r="18" spans="2:18">
      <c r="B18" s="138"/>
      <c r="C18" s="3" t="s">
        <v>2</v>
      </c>
      <c r="D18" s="3">
        <v>15</v>
      </c>
      <c r="E18" s="4">
        <v>97251</v>
      </c>
      <c r="F18" s="4">
        <f t="shared" si="5"/>
        <v>29418.427499999998</v>
      </c>
      <c r="G18" s="4">
        <f t="shared" si="6"/>
        <v>61778.697749999999</v>
      </c>
      <c r="H18" s="4">
        <f t="shared" si="8"/>
        <v>61.778697749999999</v>
      </c>
      <c r="I18" s="4">
        <f t="shared" si="7"/>
        <v>43245.088424999994</v>
      </c>
      <c r="J18" s="109">
        <f t="shared" si="9"/>
        <v>43.245088424999992</v>
      </c>
      <c r="K18" s="25"/>
      <c r="L18" s="26"/>
      <c r="M18" s="26"/>
      <c r="N18" s="26"/>
      <c r="O18" s="26"/>
      <c r="P18" s="104">
        <f t="shared" si="4"/>
        <v>0</v>
      </c>
      <c r="Q18" s="129"/>
      <c r="R18" s="132"/>
    </row>
    <row r="19" spans="2:18">
      <c r="B19" s="61" t="s">
        <v>7</v>
      </c>
      <c r="C19" s="3" t="s">
        <v>1</v>
      </c>
      <c r="D19" s="3">
        <v>71</v>
      </c>
      <c r="E19" s="4">
        <v>201266</v>
      </c>
      <c r="F19" s="4">
        <f t="shared" si="5"/>
        <v>60882.964999999997</v>
      </c>
      <c r="G19" s="4">
        <f t="shared" si="6"/>
        <v>127854.2265</v>
      </c>
      <c r="H19" s="4">
        <f t="shared" si="8"/>
        <v>127.85422650000001</v>
      </c>
      <c r="I19" s="4">
        <f t="shared" si="7"/>
        <v>89497.958549999996</v>
      </c>
      <c r="J19" s="109">
        <f t="shared" si="9"/>
        <v>89.497958549999993</v>
      </c>
      <c r="K19" s="25"/>
      <c r="L19" s="26">
        <v>200</v>
      </c>
      <c r="M19" s="26"/>
      <c r="N19" s="26"/>
      <c r="O19" s="26"/>
      <c r="P19" s="104">
        <f t="shared" si="4"/>
        <v>200</v>
      </c>
      <c r="Q19" s="129">
        <f>J19-P19</f>
        <v>-110.50204145000001</v>
      </c>
      <c r="R19" s="132"/>
    </row>
    <row r="20" spans="2:18">
      <c r="B20" s="61" t="s">
        <v>8</v>
      </c>
      <c r="C20" s="3" t="s">
        <v>1</v>
      </c>
      <c r="D20" s="3">
        <v>1</v>
      </c>
      <c r="E20" s="4">
        <v>31722</v>
      </c>
      <c r="F20" s="4">
        <f t="shared" si="5"/>
        <v>9595.9049999999988</v>
      </c>
      <c r="G20" s="4">
        <f t="shared" si="6"/>
        <v>20151.4005</v>
      </c>
      <c r="H20" s="4">
        <f t="shared" si="8"/>
        <v>20.151400500000001</v>
      </c>
      <c r="I20" s="4">
        <f t="shared" si="7"/>
        <v>14105.98035</v>
      </c>
      <c r="J20" s="109">
        <f t="shared" si="9"/>
        <v>14.105980349999999</v>
      </c>
      <c r="K20" s="25"/>
      <c r="L20" s="26"/>
      <c r="M20" s="26"/>
      <c r="N20" s="26"/>
      <c r="O20" s="26"/>
      <c r="P20" s="104">
        <f t="shared" si="4"/>
        <v>0</v>
      </c>
      <c r="Q20" s="129">
        <f>J20-P20</f>
        <v>14.105980349999999</v>
      </c>
      <c r="R20" s="132"/>
    </row>
    <row r="21" spans="2:18">
      <c r="B21" s="61" t="s">
        <v>9</v>
      </c>
      <c r="C21" s="3" t="s">
        <v>2</v>
      </c>
      <c r="D21" s="3">
        <v>5</v>
      </c>
      <c r="E21" s="4">
        <v>42579</v>
      </c>
      <c r="F21" s="4">
        <v>18000</v>
      </c>
      <c r="G21" s="4">
        <f t="shared" si="6"/>
        <v>37800</v>
      </c>
      <c r="H21" s="4">
        <v>40</v>
      </c>
      <c r="I21" s="4">
        <f t="shared" si="7"/>
        <v>26460</v>
      </c>
      <c r="J21" s="109">
        <v>28</v>
      </c>
      <c r="K21" s="25"/>
      <c r="L21" s="26"/>
      <c r="M21" s="26">
        <v>30</v>
      </c>
      <c r="N21" s="26"/>
      <c r="O21" s="26"/>
      <c r="P21" s="104">
        <f t="shared" si="4"/>
        <v>30</v>
      </c>
      <c r="Q21" s="129"/>
      <c r="R21" s="136" t="s">
        <v>70</v>
      </c>
    </row>
    <row r="22" spans="2:18">
      <c r="B22" s="138" t="s">
        <v>10</v>
      </c>
      <c r="C22" s="3" t="s">
        <v>1</v>
      </c>
      <c r="D22" s="3">
        <v>68</v>
      </c>
      <c r="E22" s="4">
        <v>572153.53</v>
      </c>
      <c r="F22" s="4">
        <f t="shared" ref="F22:F42" si="10">E22*$B$2</f>
        <v>173076.44282500001</v>
      </c>
      <c r="G22" s="4">
        <f t="shared" si="6"/>
        <v>363460.52993250004</v>
      </c>
      <c r="H22" s="4">
        <f t="shared" si="8"/>
        <v>363.46052993250004</v>
      </c>
      <c r="I22" s="4">
        <f t="shared" si="7"/>
        <v>254422.37095275</v>
      </c>
      <c r="J22" s="109">
        <f t="shared" si="9"/>
        <v>254.42237095275001</v>
      </c>
      <c r="K22" s="25"/>
      <c r="L22" s="26"/>
      <c r="M22" s="26"/>
      <c r="N22" s="26"/>
      <c r="O22" s="26"/>
      <c r="P22" s="104">
        <f t="shared" si="4"/>
        <v>0</v>
      </c>
      <c r="Q22" s="129">
        <f>J22-P22</f>
        <v>254.42237095275001</v>
      </c>
      <c r="R22" s="132"/>
    </row>
    <row r="23" spans="2:18">
      <c r="B23" s="138"/>
      <c r="C23" s="3" t="s">
        <v>2</v>
      </c>
      <c r="D23" s="3">
        <v>93</v>
      </c>
      <c r="E23" s="4">
        <v>780737.1</v>
      </c>
      <c r="F23" s="4">
        <f t="shared" si="10"/>
        <v>236172.97274999999</v>
      </c>
      <c r="G23" s="4">
        <f t="shared" si="6"/>
        <v>495963.24277499999</v>
      </c>
      <c r="H23" s="4">
        <f t="shared" si="8"/>
        <v>495.96324277499997</v>
      </c>
      <c r="I23" s="4">
        <f t="shared" si="7"/>
        <v>347174.26994249999</v>
      </c>
      <c r="J23" s="109">
        <f t="shared" si="9"/>
        <v>347.17426994249996</v>
      </c>
      <c r="K23" s="25"/>
      <c r="L23" s="26"/>
      <c r="M23" s="26"/>
      <c r="N23" s="26"/>
      <c r="O23" s="26"/>
      <c r="P23" s="104">
        <f t="shared" si="4"/>
        <v>0</v>
      </c>
      <c r="Q23" s="129"/>
      <c r="R23" s="132"/>
    </row>
    <row r="24" spans="2:18">
      <c r="B24" s="138" t="s">
        <v>11</v>
      </c>
      <c r="C24" s="3" t="s">
        <v>1</v>
      </c>
      <c r="D24" s="3">
        <v>729</v>
      </c>
      <c r="E24" s="4">
        <v>4697268.0999999996</v>
      </c>
      <c r="F24" s="4">
        <f t="shared" si="10"/>
        <v>1420923.6002499999</v>
      </c>
      <c r="G24" s="4">
        <f t="shared" si="6"/>
        <v>2983939.5605250001</v>
      </c>
      <c r="H24" s="4">
        <f t="shared" si="8"/>
        <v>2983.9395605250002</v>
      </c>
      <c r="I24" s="4">
        <f t="shared" si="7"/>
        <v>2088757.6923674999</v>
      </c>
      <c r="J24" s="109">
        <f t="shared" si="9"/>
        <v>2088.7576923675001</v>
      </c>
      <c r="K24" s="106">
        <v>750</v>
      </c>
      <c r="L24" s="32"/>
      <c r="M24" s="32"/>
      <c r="N24" s="32"/>
      <c r="O24" s="67">
        <v>141.19999999999999</v>
      </c>
      <c r="P24" s="104">
        <f t="shared" si="4"/>
        <v>891.2</v>
      </c>
      <c r="Q24" s="129">
        <f>J24-P24</f>
        <v>1197.5576923675001</v>
      </c>
      <c r="R24" s="132"/>
    </row>
    <row r="25" spans="2:18">
      <c r="B25" s="138"/>
      <c r="C25" s="3" t="s">
        <v>2</v>
      </c>
      <c r="D25" s="3">
        <v>256</v>
      </c>
      <c r="E25" s="4">
        <v>2065851.3</v>
      </c>
      <c r="F25" s="4">
        <f t="shared" si="10"/>
        <v>624920.01824999996</v>
      </c>
      <c r="G25" s="4">
        <f t="shared" si="6"/>
        <v>1312332.0383250001</v>
      </c>
      <c r="H25" s="4">
        <f t="shared" si="8"/>
        <v>1312.332038325</v>
      </c>
      <c r="I25" s="4">
        <f t="shared" si="7"/>
        <v>918632.42682749999</v>
      </c>
      <c r="J25" s="109">
        <f t="shared" si="9"/>
        <v>918.63242682750001</v>
      </c>
      <c r="K25" s="25"/>
      <c r="L25" s="26"/>
      <c r="M25" s="26"/>
      <c r="N25" s="26"/>
      <c r="O25" s="26"/>
      <c r="P25" s="104">
        <f t="shared" si="4"/>
        <v>0</v>
      </c>
      <c r="Q25" s="129"/>
      <c r="R25" s="132"/>
    </row>
    <row r="26" spans="2:18">
      <c r="B26" s="138" t="s">
        <v>12</v>
      </c>
      <c r="C26" s="3" t="s">
        <v>1</v>
      </c>
      <c r="D26" s="3">
        <v>120</v>
      </c>
      <c r="E26" s="4">
        <v>1532686.2</v>
      </c>
      <c r="F26" s="4">
        <f t="shared" si="10"/>
        <v>463637.57549999998</v>
      </c>
      <c r="G26" s="4">
        <f t="shared" si="6"/>
        <v>973638.90855000005</v>
      </c>
      <c r="H26" s="4">
        <f t="shared" si="8"/>
        <v>973.63890855</v>
      </c>
      <c r="I26" s="4">
        <f t="shared" si="7"/>
        <v>681547.23598500004</v>
      </c>
      <c r="J26" s="109">
        <f t="shared" si="9"/>
        <v>681.54723598500004</v>
      </c>
      <c r="K26" s="25"/>
      <c r="L26" s="26"/>
      <c r="M26" s="26"/>
      <c r="N26" s="26"/>
      <c r="O26" s="26"/>
      <c r="P26" s="104">
        <f t="shared" si="4"/>
        <v>0</v>
      </c>
      <c r="Q26" s="129">
        <f>J26-P26</f>
        <v>681.54723598500004</v>
      </c>
      <c r="R26" s="132"/>
    </row>
    <row r="27" spans="2:18">
      <c r="B27" s="138"/>
      <c r="C27" s="3" t="s">
        <v>2</v>
      </c>
      <c r="D27" s="3">
        <v>88</v>
      </c>
      <c r="E27" s="4">
        <v>1075890.2</v>
      </c>
      <c r="F27" s="4">
        <f t="shared" si="10"/>
        <v>325456.7855</v>
      </c>
      <c r="G27" s="4">
        <f t="shared" si="6"/>
        <v>683459.24955000007</v>
      </c>
      <c r="H27" s="4">
        <f t="shared" si="8"/>
        <v>683.4592495500001</v>
      </c>
      <c r="I27" s="4">
        <f t="shared" si="7"/>
        <v>478421.47468500002</v>
      </c>
      <c r="J27" s="109">
        <f t="shared" si="9"/>
        <v>478.42147468500002</v>
      </c>
      <c r="K27" s="25"/>
      <c r="L27" s="26"/>
      <c r="M27" s="26"/>
      <c r="N27" s="26"/>
      <c r="O27" s="26"/>
      <c r="P27" s="104">
        <f t="shared" si="4"/>
        <v>0</v>
      </c>
      <c r="Q27" s="129"/>
      <c r="R27" s="132"/>
    </row>
    <row r="28" spans="2:18">
      <c r="B28" s="138" t="s">
        <v>13</v>
      </c>
      <c r="C28" s="3" t="s">
        <v>1</v>
      </c>
      <c r="D28" s="3">
        <v>96</v>
      </c>
      <c r="E28" s="4">
        <v>1370772.8</v>
      </c>
      <c r="F28" s="4">
        <f t="shared" si="10"/>
        <v>414658.772</v>
      </c>
      <c r="G28" s="4">
        <f t="shared" si="6"/>
        <v>870783.42119999998</v>
      </c>
      <c r="H28" s="4">
        <f t="shared" si="8"/>
        <v>870.78342120000002</v>
      </c>
      <c r="I28" s="4">
        <f t="shared" si="7"/>
        <v>609548.39483999996</v>
      </c>
      <c r="J28" s="109">
        <f t="shared" si="9"/>
        <v>609.54839484000001</v>
      </c>
      <c r="K28" s="25"/>
      <c r="L28" s="26"/>
      <c r="M28" s="26"/>
      <c r="N28" s="26"/>
      <c r="O28" s="26"/>
      <c r="P28" s="104">
        <f t="shared" si="4"/>
        <v>0</v>
      </c>
      <c r="Q28" s="129">
        <f>J28-P28</f>
        <v>609.54839484000001</v>
      </c>
      <c r="R28" s="132"/>
    </row>
    <row r="29" spans="2:18">
      <c r="B29" s="138"/>
      <c r="C29" s="3" t="s">
        <v>2</v>
      </c>
      <c r="D29" s="3">
        <v>2</v>
      </c>
      <c r="E29" s="4">
        <v>20840</v>
      </c>
      <c r="F29" s="4">
        <f t="shared" si="10"/>
        <v>6304.0999999999995</v>
      </c>
      <c r="G29" s="4">
        <f t="shared" si="6"/>
        <v>13238.609999999999</v>
      </c>
      <c r="H29" s="4">
        <f t="shared" si="8"/>
        <v>13.23861</v>
      </c>
      <c r="I29" s="4">
        <f t="shared" si="7"/>
        <v>9267.0269999999982</v>
      </c>
      <c r="J29" s="109">
        <f t="shared" si="9"/>
        <v>9.2670269999999988</v>
      </c>
      <c r="K29" s="25"/>
      <c r="L29" s="26"/>
      <c r="M29" s="26"/>
      <c r="N29" s="26"/>
      <c r="O29" s="26"/>
      <c r="P29" s="104">
        <f t="shared" si="4"/>
        <v>0</v>
      </c>
      <c r="Q29" s="129"/>
      <c r="R29" s="132"/>
    </row>
    <row r="30" spans="2:18">
      <c r="B30" s="138" t="s">
        <v>14</v>
      </c>
      <c r="C30" s="3" t="s">
        <v>1</v>
      </c>
      <c r="D30" s="3">
        <v>29</v>
      </c>
      <c r="E30" s="4">
        <v>155629</v>
      </c>
      <c r="F30" s="4">
        <f t="shared" si="10"/>
        <v>47077.772499999999</v>
      </c>
      <c r="G30" s="4">
        <f t="shared" si="6"/>
        <v>98863.322249999997</v>
      </c>
      <c r="H30" s="4">
        <f t="shared" si="8"/>
        <v>98.863322249999996</v>
      </c>
      <c r="I30" s="4">
        <f t="shared" si="7"/>
        <v>69204.325574999995</v>
      </c>
      <c r="J30" s="109">
        <f t="shared" si="9"/>
        <v>69.204325574999999</v>
      </c>
      <c r="K30" s="25"/>
      <c r="L30" s="26"/>
      <c r="M30" s="26"/>
      <c r="N30" s="26"/>
      <c r="O30" s="26"/>
      <c r="P30" s="104">
        <f t="shared" si="4"/>
        <v>0</v>
      </c>
      <c r="Q30" s="129">
        <f>J30-P30</f>
        <v>69.204325574999999</v>
      </c>
      <c r="R30" s="132"/>
    </row>
    <row r="31" spans="2:18">
      <c r="B31" s="138"/>
      <c r="C31" s="3" t="s">
        <v>2</v>
      </c>
      <c r="D31" s="3">
        <v>165</v>
      </c>
      <c r="E31" s="4">
        <v>1806880.9</v>
      </c>
      <c r="F31" s="4">
        <f t="shared" si="10"/>
        <v>546581.47224999999</v>
      </c>
      <c r="G31" s="4">
        <f t="shared" si="6"/>
        <v>1147821.0917249999</v>
      </c>
      <c r="H31" s="4">
        <f t="shared" si="8"/>
        <v>1147.8210917249999</v>
      </c>
      <c r="I31" s="4">
        <f t="shared" si="7"/>
        <v>803474.76420749992</v>
      </c>
      <c r="J31" s="109">
        <f t="shared" si="9"/>
        <v>803.4747642074999</v>
      </c>
      <c r="K31" s="25"/>
      <c r="L31" s="26"/>
      <c r="M31" s="26"/>
      <c r="N31" s="26"/>
      <c r="O31" s="26"/>
      <c r="P31" s="104">
        <f t="shared" si="4"/>
        <v>0</v>
      </c>
      <c r="Q31" s="129"/>
      <c r="R31" s="132"/>
    </row>
    <row r="32" spans="2:18">
      <c r="B32" s="61" t="s">
        <v>15</v>
      </c>
      <c r="C32" s="3" t="s">
        <v>1</v>
      </c>
      <c r="D32" s="3">
        <v>14</v>
      </c>
      <c r="E32" s="4">
        <v>104675</v>
      </c>
      <c r="F32" s="4">
        <f t="shared" si="10"/>
        <v>31664.1875</v>
      </c>
      <c r="G32" s="4">
        <f t="shared" si="6"/>
        <v>66494.793749999997</v>
      </c>
      <c r="H32" s="4">
        <f t="shared" si="8"/>
        <v>66.494793749999999</v>
      </c>
      <c r="I32" s="4">
        <f t="shared" si="7"/>
        <v>46546.355624999997</v>
      </c>
      <c r="J32" s="109">
        <f t="shared" si="9"/>
        <v>46.546355624999997</v>
      </c>
      <c r="K32" s="25">
        <v>50</v>
      </c>
      <c r="L32" s="26"/>
      <c r="M32" s="26"/>
      <c r="N32" s="26"/>
      <c r="O32" s="26"/>
      <c r="P32" s="104">
        <f t="shared" si="4"/>
        <v>50</v>
      </c>
      <c r="Q32" s="129">
        <f>J32-P32</f>
        <v>-3.4536443750000032</v>
      </c>
      <c r="R32" s="132"/>
    </row>
    <row r="33" spans="2:18">
      <c r="B33" s="138" t="s">
        <v>16</v>
      </c>
      <c r="C33" s="3" t="s">
        <v>1</v>
      </c>
      <c r="D33" s="3">
        <v>114</v>
      </c>
      <c r="E33" s="4">
        <v>865759.6</v>
      </c>
      <c r="F33" s="4">
        <f t="shared" si="10"/>
        <v>261892.27899999998</v>
      </c>
      <c r="G33" s="4">
        <f t="shared" si="6"/>
        <v>549973.78590000002</v>
      </c>
      <c r="H33" s="4">
        <f t="shared" si="8"/>
        <v>549.97378590000005</v>
      </c>
      <c r="I33" s="4">
        <f t="shared" si="7"/>
        <v>384981.65012999997</v>
      </c>
      <c r="J33" s="109">
        <f t="shared" si="9"/>
        <v>384.98165012999999</v>
      </c>
      <c r="K33" s="25"/>
      <c r="L33" s="26"/>
      <c r="M33" s="26"/>
      <c r="N33" s="26"/>
      <c r="O33" s="26"/>
      <c r="P33" s="104">
        <f t="shared" si="4"/>
        <v>0</v>
      </c>
      <c r="Q33" s="129">
        <f>J33-P33</f>
        <v>384.98165012999999</v>
      </c>
      <c r="R33" s="132"/>
    </row>
    <row r="34" spans="2:18">
      <c r="B34" s="138"/>
      <c r="C34" s="3" t="s">
        <v>2</v>
      </c>
      <c r="D34" s="3">
        <v>11</v>
      </c>
      <c r="E34" s="4">
        <v>87188.3</v>
      </c>
      <c r="F34" s="4">
        <f t="shared" si="10"/>
        <v>26374.460749999998</v>
      </c>
      <c r="G34" s="4">
        <f t="shared" si="6"/>
        <v>55386.367574999997</v>
      </c>
      <c r="H34" s="4">
        <f t="shared" si="8"/>
        <v>55.386367574999994</v>
      </c>
      <c r="I34" s="4">
        <f t="shared" si="7"/>
        <v>38770.457302499992</v>
      </c>
      <c r="J34" s="109">
        <f t="shared" si="9"/>
        <v>38.770457302499992</v>
      </c>
      <c r="K34" s="25"/>
      <c r="L34" s="26"/>
      <c r="M34" s="26"/>
      <c r="N34" s="26"/>
      <c r="O34" s="26"/>
      <c r="P34" s="104">
        <f t="shared" si="4"/>
        <v>0</v>
      </c>
      <c r="Q34" s="129"/>
      <c r="R34" s="132"/>
    </row>
    <row r="35" spans="2:18">
      <c r="B35" s="138" t="s">
        <v>17</v>
      </c>
      <c r="C35" s="3" t="s">
        <v>1</v>
      </c>
      <c r="D35" s="3">
        <v>131</v>
      </c>
      <c r="E35" s="4">
        <v>2321543</v>
      </c>
      <c r="F35" s="4">
        <f t="shared" si="10"/>
        <v>702266.75749999995</v>
      </c>
      <c r="G35" s="4">
        <f t="shared" si="6"/>
        <v>1474760.1907500001</v>
      </c>
      <c r="H35" s="4">
        <f t="shared" si="8"/>
        <v>1474.76019075</v>
      </c>
      <c r="I35" s="4">
        <f t="shared" si="7"/>
        <v>1032332.133525</v>
      </c>
      <c r="J35" s="109">
        <f t="shared" si="9"/>
        <v>1032.332133525</v>
      </c>
      <c r="K35" s="25"/>
      <c r="L35" s="26"/>
      <c r="M35" s="26"/>
      <c r="N35" s="26">
        <v>764</v>
      </c>
      <c r="O35" s="26"/>
      <c r="P35" s="104">
        <f t="shared" si="4"/>
        <v>764</v>
      </c>
      <c r="Q35" s="129">
        <f>J35-P35</f>
        <v>268.33213352500002</v>
      </c>
      <c r="R35" s="132"/>
    </row>
    <row r="36" spans="2:18">
      <c r="B36" s="138"/>
      <c r="C36" s="3" t="s">
        <v>2</v>
      </c>
      <c r="D36" s="3">
        <v>26</v>
      </c>
      <c r="E36" s="4">
        <v>496977</v>
      </c>
      <c r="F36" s="4">
        <f t="shared" si="10"/>
        <v>150335.54249999998</v>
      </c>
      <c r="G36" s="4">
        <f t="shared" si="6"/>
        <v>315704.63924999995</v>
      </c>
      <c r="H36" s="4">
        <f t="shared" si="8"/>
        <v>315.70463924999996</v>
      </c>
      <c r="I36" s="4">
        <f t="shared" si="7"/>
        <v>220993.24747499995</v>
      </c>
      <c r="J36" s="109">
        <f t="shared" si="9"/>
        <v>220.99324747499995</v>
      </c>
      <c r="K36" s="25"/>
      <c r="L36" s="26"/>
      <c r="M36" s="26"/>
      <c r="N36" s="26"/>
      <c r="O36" s="26"/>
      <c r="P36" s="104">
        <f t="shared" si="4"/>
        <v>0</v>
      </c>
      <c r="Q36" s="129"/>
      <c r="R36" s="132"/>
    </row>
    <row r="37" spans="2:18">
      <c r="B37" s="138" t="s">
        <v>18</v>
      </c>
      <c r="C37" s="3" t="s">
        <v>1</v>
      </c>
      <c r="D37" s="3">
        <v>14</v>
      </c>
      <c r="E37" s="4">
        <v>300215.90000000002</v>
      </c>
      <c r="F37" s="4">
        <f t="shared" si="10"/>
        <v>90815.30975</v>
      </c>
      <c r="G37" s="4">
        <f t="shared" si="6"/>
        <v>190712.150475</v>
      </c>
      <c r="H37" s="4">
        <f t="shared" si="8"/>
        <v>190.71215047500002</v>
      </c>
      <c r="I37" s="4">
        <f t="shared" si="7"/>
        <v>133498.5053325</v>
      </c>
      <c r="J37" s="109">
        <f t="shared" si="9"/>
        <v>133.4985053325</v>
      </c>
      <c r="K37" s="25"/>
      <c r="L37" s="26"/>
      <c r="M37" s="26"/>
      <c r="N37" s="26"/>
      <c r="O37" s="26"/>
      <c r="P37" s="104">
        <f t="shared" si="4"/>
        <v>0</v>
      </c>
      <c r="Q37" s="129">
        <f>J37-P37</f>
        <v>133.4985053325</v>
      </c>
      <c r="R37" s="132"/>
    </row>
    <row r="38" spans="2:18">
      <c r="B38" s="138"/>
      <c r="C38" s="3" t="s">
        <v>2</v>
      </c>
      <c r="D38" s="3">
        <v>8</v>
      </c>
      <c r="E38" s="4">
        <v>293938.40000000002</v>
      </c>
      <c r="F38" s="4">
        <f t="shared" si="10"/>
        <v>88916.366000000009</v>
      </c>
      <c r="G38" s="4">
        <f t="shared" si="6"/>
        <v>186724.36860000002</v>
      </c>
      <c r="H38" s="4">
        <f t="shared" si="8"/>
        <v>186.72436860000002</v>
      </c>
      <c r="I38" s="4">
        <f t="shared" si="7"/>
        <v>130707.05802</v>
      </c>
      <c r="J38" s="109">
        <f t="shared" si="9"/>
        <v>130.70705802000001</v>
      </c>
      <c r="K38" s="25"/>
      <c r="L38" s="26"/>
      <c r="M38" s="26"/>
      <c r="N38" s="26"/>
      <c r="O38" s="26"/>
      <c r="P38" s="104">
        <f t="shared" si="4"/>
        <v>0</v>
      </c>
      <c r="Q38" s="129"/>
      <c r="R38" s="132"/>
    </row>
    <row r="39" spans="2:18">
      <c r="B39" s="138" t="s">
        <v>19</v>
      </c>
      <c r="C39" s="3" t="s">
        <v>1</v>
      </c>
      <c r="D39" s="3">
        <v>8</v>
      </c>
      <c r="E39" s="4">
        <v>74418</v>
      </c>
      <c r="F39" s="4">
        <f t="shared" si="10"/>
        <v>22511.445</v>
      </c>
      <c r="G39" s="4">
        <f t="shared" si="6"/>
        <v>47274.034500000002</v>
      </c>
      <c r="H39" s="4">
        <f t="shared" si="8"/>
        <v>47.274034499999999</v>
      </c>
      <c r="I39" s="4">
        <f t="shared" si="7"/>
        <v>33091.82415</v>
      </c>
      <c r="J39" s="109">
        <f t="shared" si="9"/>
        <v>33.091824150000001</v>
      </c>
      <c r="K39" s="25"/>
      <c r="L39" s="26"/>
      <c r="M39" s="26"/>
      <c r="N39" s="26"/>
      <c r="O39" s="26"/>
      <c r="P39" s="104">
        <f t="shared" si="4"/>
        <v>0</v>
      </c>
      <c r="Q39" s="129">
        <f>J39-P39</f>
        <v>33.091824150000001</v>
      </c>
      <c r="R39" s="132"/>
    </row>
    <row r="40" spans="2:18">
      <c r="B40" s="138"/>
      <c r="C40" s="3" t="s">
        <v>2</v>
      </c>
      <c r="D40" s="3">
        <v>5</v>
      </c>
      <c r="E40" s="4">
        <v>75817</v>
      </c>
      <c r="F40" s="4">
        <f t="shared" si="10"/>
        <v>22934.642499999998</v>
      </c>
      <c r="G40" s="4">
        <f t="shared" si="6"/>
        <v>48162.749250000001</v>
      </c>
      <c r="H40" s="4">
        <f t="shared" si="8"/>
        <v>48.162749249999997</v>
      </c>
      <c r="I40" s="4">
        <f t="shared" si="7"/>
        <v>33713.924475</v>
      </c>
      <c r="J40" s="109">
        <f t="shared" si="9"/>
        <v>33.713924474999999</v>
      </c>
      <c r="K40" s="25"/>
      <c r="L40" s="26"/>
      <c r="M40" s="26"/>
      <c r="N40" s="26"/>
      <c r="O40" s="26"/>
      <c r="P40" s="104">
        <f t="shared" si="4"/>
        <v>0</v>
      </c>
      <c r="Q40" s="129"/>
      <c r="R40" s="132"/>
    </row>
    <row r="41" spans="2:18">
      <c r="B41" s="138" t="s">
        <v>20</v>
      </c>
      <c r="C41" s="3" t="s">
        <v>1</v>
      </c>
      <c r="D41" s="3">
        <v>63</v>
      </c>
      <c r="E41" s="4">
        <v>817452</v>
      </c>
      <c r="F41" s="4">
        <f t="shared" si="10"/>
        <v>247279.22999999998</v>
      </c>
      <c r="G41" s="4">
        <f t="shared" si="6"/>
        <v>519286.38299999997</v>
      </c>
      <c r="H41" s="4">
        <f t="shared" si="8"/>
        <v>519.286383</v>
      </c>
      <c r="I41" s="4">
        <f t="shared" si="7"/>
        <v>363500.46809999994</v>
      </c>
      <c r="J41" s="109">
        <f t="shared" si="9"/>
        <v>363.50046809999992</v>
      </c>
      <c r="K41" s="25">
        <v>450</v>
      </c>
      <c r="L41" s="26"/>
      <c r="M41" s="26"/>
      <c r="N41" s="26"/>
      <c r="O41" s="26"/>
      <c r="P41" s="104">
        <f t="shared" si="4"/>
        <v>450</v>
      </c>
      <c r="Q41" s="129">
        <f>J41-P41</f>
        <v>-86.499531900000079</v>
      </c>
      <c r="R41" s="132"/>
    </row>
    <row r="42" spans="2:18" ht="13.5" thickBot="1">
      <c r="B42" s="139"/>
      <c r="C42" s="6" t="s">
        <v>2</v>
      </c>
      <c r="D42" s="6">
        <v>40</v>
      </c>
      <c r="E42" s="7">
        <v>803001</v>
      </c>
      <c r="F42" s="7">
        <f t="shared" si="10"/>
        <v>242907.80249999999</v>
      </c>
      <c r="G42" s="7">
        <f t="shared" si="6"/>
        <v>510106.38524999999</v>
      </c>
      <c r="H42" s="7">
        <f t="shared" si="8"/>
        <v>510.10638525000002</v>
      </c>
      <c r="I42" s="7">
        <f t="shared" si="7"/>
        <v>357074.469675</v>
      </c>
      <c r="J42" s="110">
        <f t="shared" si="9"/>
        <v>357.07446967499999</v>
      </c>
      <c r="K42" s="27"/>
      <c r="L42" s="28"/>
      <c r="M42" s="28">
        <v>18</v>
      </c>
      <c r="N42" s="28"/>
      <c r="O42" s="28"/>
      <c r="P42" s="107">
        <f t="shared" si="4"/>
        <v>18</v>
      </c>
      <c r="Q42" s="130"/>
      <c r="R42" s="137" t="s">
        <v>71</v>
      </c>
    </row>
  </sheetData>
  <mergeCells count="20">
    <mergeCell ref="B3:Q3"/>
    <mergeCell ref="B4:J4"/>
    <mergeCell ref="B15:B16"/>
    <mergeCell ref="B22:B23"/>
    <mergeCell ref="B24:B25"/>
    <mergeCell ref="B8:C8"/>
    <mergeCell ref="B30:B31"/>
    <mergeCell ref="B41:B42"/>
    <mergeCell ref="B6:J6"/>
    <mergeCell ref="K6:Q6"/>
    <mergeCell ref="B9:C9"/>
    <mergeCell ref="B10:C10"/>
    <mergeCell ref="B11:B12"/>
    <mergeCell ref="B17:B18"/>
    <mergeCell ref="B33:B34"/>
    <mergeCell ref="B35:B36"/>
    <mergeCell ref="B37:B38"/>
    <mergeCell ref="B39:B40"/>
    <mergeCell ref="B26:B27"/>
    <mergeCell ref="B28:B2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"/>
  <sheetViews>
    <sheetView topLeftCell="A3" zoomScale="110" zoomScaleNormal="110" workbookViewId="0">
      <selection activeCell="AN14" sqref="AN14"/>
    </sheetView>
  </sheetViews>
  <sheetFormatPr defaultRowHeight="12.75"/>
  <cols>
    <col min="1" max="2" width="9.7109375" bestFit="1" customWidth="1"/>
    <col min="3" max="3" width="7.42578125" bestFit="1" customWidth="1"/>
    <col min="4" max="4" width="12.28515625" bestFit="1" customWidth="1"/>
    <col min="5" max="5" width="11.28515625" bestFit="1" customWidth="1"/>
    <col min="6" max="6" width="15.140625" hidden="1" customWidth="1"/>
    <col min="7" max="7" width="10.140625" bestFit="1" customWidth="1"/>
    <col min="8" max="8" width="13" hidden="1" customWidth="1"/>
    <col min="9" max="9" width="8.42578125" bestFit="1" customWidth="1"/>
    <col min="10" max="10" width="7.28515625" hidden="1" customWidth="1"/>
    <col min="11" max="11" width="10.42578125" hidden="1" customWidth="1"/>
    <col min="12" max="12" width="8.7109375" hidden="1" customWidth="1"/>
    <col min="13" max="13" width="0" hidden="1" customWidth="1"/>
    <col min="14" max="14" width="7.28515625" hidden="1" customWidth="1"/>
    <col min="15" max="15" width="10.42578125" hidden="1" customWidth="1"/>
    <col min="16" max="16" width="8.7109375" hidden="1" customWidth="1"/>
    <col min="17" max="17" width="18.28515625" hidden="1" customWidth="1"/>
    <col min="18" max="18" width="7.28515625" hidden="1" customWidth="1"/>
    <col min="19" max="19" width="9.42578125" hidden="1" customWidth="1"/>
    <col min="20" max="20" width="8.7109375" hidden="1" customWidth="1"/>
    <col min="21" max="21" width="13" hidden="1" customWidth="1"/>
    <col min="22" max="22" width="7.28515625" hidden="1" customWidth="1"/>
    <col min="23" max="23" width="8.42578125" hidden="1" customWidth="1"/>
    <col min="24" max="24" width="8.7109375" hidden="1" customWidth="1"/>
    <col min="25" max="25" width="13.7109375" hidden="1" customWidth="1"/>
    <col min="26" max="26" width="7.28515625" hidden="1" customWidth="1"/>
    <col min="27" max="27" width="8.42578125" hidden="1" customWidth="1"/>
    <col min="28" max="28" width="8.7109375" hidden="1" customWidth="1"/>
    <col min="29" max="29" width="5.42578125" hidden="1" customWidth="1"/>
    <col min="30" max="30" width="7.28515625" hidden="1" customWidth="1"/>
    <col min="31" max="31" width="9.42578125" hidden="1" customWidth="1"/>
    <col min="32" max="32" width="8.7109375" hidden="1" customWidth="1"/>
    <col min="33" max="33" width="8.28515625" hidden="1" customWidth="1"/>
    <col min="34" max="34" width="7.28515625" bestFit="1" customWidth="1"/>
    <col min="35" max="35" width="9.42578125" bestFit="1" customWidth="1"/>
    <col min="36" max="36" width="8.7109375" bestFit="1" customWidth="1"/>
    <col min="37" max="37" width="5.42578125" bestFit="1" customWidth="1"/>
    <col min="38" max="38" width="13" style="1" customWidth="1"/>
  </cols>
  <sheetData>
    <row r="1" spans="1:38" hidden="1">
      <c r="A1" s="2" t="s">
        <v>33</v>
      </c>
      <c r="B1" s="2" t="s">
        <v>31</v>
      </c>
      <c r="C1" s="2" t="s">
        <v>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L1" s="91"/>
    </row>
    <row r="2" spans="1:38" hidden="1">
      <c r="A2" s="1">
        <v>0.30249999999999999</v>
      </c>
      <c r="B2" s="1">
        <v>2.1</v>
      </c>
      <c r="C2" s="1">
        <v>0.7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L2" s="91"/>
    </row>
    <row r="3" spans="1:38" ht="33" customHeight="1">
      <c r="A3" s="149" t="s">
        <v>60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</row>
    <row r="4" spans="1:38">
      <c r="A4" s="150" t="s">
        <v>37</v>
      </c>
      <c r="B4" s="151"/>
      <c r="C4" s="151"/>
      <c r="D4" s="151"/>
      <c r="E4" s="151"/>
      <c r="F4" s="151"/>
      <c r="G4" s="151"/>
      <c r="H4" s="151"/>
      <c r="I4" s="15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L4" s="91"/>
    </row>
    <row r="5" spans="1:38" ht="13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L5" s="91"/>
    </row>
    <row r="6" spans="1:38" ht="14.25" thickBot="1">
      <c r="A6" s="10" t="s">
        <v>25</v>
      </c>
      <c r="B6" s="12" t="s">
        <v>26</v>
      </c>
      <c r="C6" s="12" t="s">
        <v>27</v>
      </c>
      <c r="D6" s="12" t="s">
        <v>35</v>
      </c>
      <c r="E6" s="13" t="s">
        <v>36</v>
      </c>
      <c r="F6" s="11" t="s">
        <v>21</v>
      </c>
      <c r="G6" s="11" t="s">
        <v>22</v>
      </c>
      <c r="H6" s="11" t="s">
        <v>23</v>
      </c>
      <c r="I6" s="17" t="s">
        <v>24</v>
      </c>
      <c r="J6" s="171" t="s">
        <v>39</v>
      </c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2"/>
      <c r="AH6" s="154" t="s">
        <v>58</v>
      </c>
      <c r="AI6" s="155"/>
      <c r="AJ6" s="155"/>
      <c r="AK6" s="155"/>
      <c r="AL6" s="156"/>
    </row>
    <row r="7" spans="1:38" ht="14.25" thickBot="1">
      <c r="A7" s="172" t="s">
        <v>28</v>
      </c>
      <c r="B7" s="173"/>
      <c r="C7" s="14">
        <f t="shared" ref="C7:I7" si="0">SUM(C11:C42)</f>
        <v>2774</v>
      </c>
      <c r="D7" s="14">
        <f t="shared" si="0"/>
        <v>25542263.149999999</v>
      </c>
      <c r="E7" s="14">
        <f t="shared" si="0"/>
        <v>7731654.4553750008</v>
      </c>
      <c r="F7" s="14">
        <f t="shared" si="0"/>
        <v>16236474.356287492</v>
      </c>
      <c r="G7" s="14">
        <f t="shared" si="0"/>
        <v>16238.674356287496</v>
      </c>
      <c r="H7" s="14">
        <f t="shared" si="0"/>
        <v>11365532.049401248</v>
      </c>
      <c r="I7" s="18">
        <f t="shared" si="0"/>
        <v>11367.072049401251</v>
      </c>
      <c r="J7" s="171" t="s">
        <v>45</v>
      </c>
      <c r="K7" s="161"/>
      <c r="L7" s="161"/>
      <c r="M7" s="162"/>
      <c r="N7" s="160" t="s">
        <v>43</v>
      </c>
      <c r="O7" s="161"/>
      <c r="P7" s="161"/>
      <c r="Q7" s="162"/>
      <c r="R7" s="160" t="s">
        <v>47</v>
      </c>
      <c r="S7" s="161"/>
      <c r="T7" s="161"/>
      <c r="U7" s="162"/>
      <c r="V7" s="160" t="s">
        <v>50</v>
      </c>
      <c r="W7" s="161"/>
      <c r="X7" s="161"/>
      <c r="Y7" s="162"/>
      <c r="Z7" s="160" t="s">
        <v>52</v>
      </c>
      <c r="AA7" s="161"/>
      <c r="AB7" s="161"/>
      <c r="AC7" s="162"/>
      <c r="AD7" s="160" t="s">
        <v>53</v>
      </c>
      <c r="AE7" s="161"/>
      <c r="AF7" s="161"/>
      <c r="AG7" s="162"/>
      <c r="AH7" s="157"/>
      <c r="AI7" s="158"/>
      <c r="AJ7" s="158"/>
      <c r="AK7" s="158"/>
      <c r="AL7" s="159"/>
    </row>
    <row r="8" spans="1:38" ht="25.5" thickBot="1">
      <c r="A8" s="163" t="s">
        <v>29</v>
      </c>
      <c r="B8" s="164"/>
      <c r="C8" s="15">
        <f t="shared" ref="C8:I8" si="1">SUM(C11,C13,C14,C15,C17,C19,C20,C22,C24,C26,C28,C30,C32,C33,C35,C37,C39,C41)</f>
        <v>2051</v>
      </c>
      <c r="D8" s="15">
        <f t="shared" si="1"/>
        <v>17788811.949999999</v>
      </c>
      <c r="E8" s="15">
        <f t="shared" si="1"/>
        <v>5381115.614875</v>
      </c>
      <c r="F8" s="15">
        <f t="shared" si="1"/>
        <v>11300342.791237498</v>
      </c>
      <c r="G8" s="15">
        <f t="shared" si="1"/>
        <v>11300.342791237499</v>
      </c>
      <c r="H8" s="15">
        <f t="shared" si="1"/>
        <v>7910239.953866249</v>
      </c>
      <c r="I8" s="19">
        <f t="shared" si="1"/>
        <v>7910.2399538662503</v>
      </c>
      <c r="J8" s="34" t="s">
        <v>40</v>
      </c>
      <c r="K8" s="35" t="s">
        <v>38</v>
      </c>
      <c r="L8" s="36" t="s">
        <v>48</v>
      </c>
      <c r="M8" s="37" t="s">
        <v>41</v>
      </c>
      <c r="N8" s="34" t="s">
        <v>40</v>
      </c>
      <c r="O8" s="35" t="s">
        <v>38</v>
      </c>
      <c r="P8" s="36" t="s">
        <v>48</v>
      </c>
      <c r="Q8" s="37" t="s">
        <v>41</v>
      </c>
      <c r="R8" s="34" t="s">
        <v>40</v>
      </c>
      <c r="S8" s="35" t="s">
        <v>38</v>
      </c>
      <c r="T8" s="36" t="s">
        <v>48</v>
      </c>
      <c r="U8" s="37" t="s">
        <v>41</v>
      </c>
      <c r="V8" s="34" t="s">
        <v>40</v>
      </c>
      <c r="W8" s="35" t="s">
        <v>38</v>
      </c>
      <c r="X8" s="36" t="s">
        <v>48</v>
      </c>
      <c r="Y8" s="37" t="s">
        <v>41</v>
      </c>
      <c r="Z8" s="34" t="s">
        <v>40</v>
      </c>
      <c r="AA8" s="35" t="s">
        <v>38</v>
      </c>
      <c r="AB8" s="36" t="s">
        <v>48</v>
      </c>
      <c r="AC8" s="37" t="s">
        <v>41</v>
      </c>
      <c r="AD8" s="34" t="s">
        <v>40</v>
      </c>
      <c r="AE8" s="35" t="s">
        <v>38</v>
      </c>
      <c r="AF8" s="36" t="s">
        <v>48</v>
      </c>
      <c r="AG8" s="37" t="s">
        <v>41</v>
      </c>
      <c r="AH8" s="87" t="s">
        <v>40</v>
      </c>
      <c r="AI8" s="88" t="s">
        <v>38</v>
      </c>
      <c r="AJ8" s="89" t="s">
        <v>48</v>
      </c>
      <c r="AK8" s="90" t="s">
        <v>41</v>
      </c>
      <c r="AL8" s="97" t="s">
        <v>59</v>
      </c>
    </row>
    <row r="9" spans="1:38" ht="14.25" thickBot="1">
      <c r="A9" s="165" t="s">
        <v>30</v>
      </c>
      <c r="B9" s="166"/>
      <c r="C9" s="51">
        <f t="shared" ref="C9:I9" si="2">SUM(C12,C16,C18,C21,C23,C25,C27,C29,C31,C34,C36,C38,C40,C42)</f>
        <v>723</v>
      </c>
      <c r="D9" s="51">
        <f t="shared" si="2"/>
        <v>7753451.2000000002</v>
      </c>
      <c r="E9" s="51">
        <f t="shared" si="2"/>
        <v>2350538.8404999999</v>
      </c>
      <c r="F9" s="51">
        <f t="shared" si="2"/>
        <v>4936131.5650500003</v>
      </c>
      <c r="G9" s="51">
        <f t="shared" si="2"/>
        <v>4938.3315650499999</v>
      </c>
      <c r="H9" s="51">
        <f t="shared" si="2"/>
        <v>3455292.0955349994</v>
      </c>
      <c r="I9" s="52">
        <f t="shared" si="2"/>
        <v>3456.832095535</v>
      </c>
      <c r="J9" s="46">
        <v>123</v>
      </c>
      <c r="K9" s="47">
        <v>97640</v>
      </c>
      <c r="L9" s="48">
        <f>SUM(L11:L42)</f>
        <v>1750</v>
      </c>
      <c r="M9" s="49"/>
      <c r="N9" s="46">
        <v>96</v>
      </c>
      <c r="O9" s="47">
        <v>71218</v>
      </c>
      <c r="P9" s="48">
        <v>864</v>
      </c>
      <c r="Q9" s="50" t="s">
        <v>44</v>
      </c>
      <c r="R9" s="43">
        <v>152</v>
      </c>
      <c r="S9" s="44">
        <v>116870</v>
      </c>
      <c r="T9" s="44">
        <v>1439</v>
      </c>
      <c r="U9" s="53" t="s">
        <v>46</v>
      </c>
      <c r="V9" s="43">
        <v>56</v>
      </c>
      <c r="W9" s="44">
        <v>45600</v>
      </c>
      <c r="X9" s="44">
        <v>600</v>
      </c>
      <c r="Y9" s="53" t="s">
        <v>46</v>
      </c>
      <c r="Z9" s="43">
        <v>35</v>
      </c>
      <c r="AA9" s="44">
        <v>33638</v>
      </c>
      <c r="AB9" s="44">
        <v>764</v>
      </c>
      <c r="AC9" s="53"/>
      <c r="AD9" s="43">
        <v>18</v>
      </c>
      <c r="AE9" s="44">
        <v>11640</v>
      </c>
      <c r="AF9" s="44">
        <v>141</v>
      </c>
      <c r="AG9" s="53"/>
      <c r="AH9" s="71">
        <f>SUM(AD9,Z9,V9,R9,N9,J9)</f>
        <v>480</v>
      </c>
      <c r="AI9" s="44">
        <f>SUM(AE9,AA9,W9,T9,O9,K9)</f>
        <v>261175</v>
      </c>
      <c r="AJ9" s="44">
        <f>SUM(AF9,AB9,X9,T9,P9,L9)</f>
        <v>5558</v>
      </c>
      <c r="AK9" s="82"/>
      <c r="AL9" s="92"/>
    </row>
    <row r="10" spans="1:38" ht="14.25" thickBot="1">
      <c r="A10" s="167"/>
      <c r="B10" s="168"/>
      <c r="C10" s="168"/>
      <c r="D10" s="168"/>
      <c r="E10" s="168"/>
      <c r="F10" s="168"/>
      <c r="G10" s="168"/>
      <c r="H10" s="168"/>
      <c r="I10" s="169"/>
      <c r="J10" s="59"/>
      <c r="K10" s="56"/>
      <c r="L10" s="58">
        <f>SUM(L11:L42)</f>
        <v>1750</v>
      </c>
      <c r="M10" s="60"/>
      <c r="N10" s="59"/>
      <c r="O10" s="56"/>
      <c r="P10" s="58">
        <f>SUM(P11:P42)</f>
        <v>200</v>
      </c>
      <c r="Q10" s="54"/>
      <c r="R10" s="57"/>
      <c r="S10" s="57"/>
      <c r="T10" s="58">
        <f>SUM(T11:T42)</f>
        <v>48</v>
      </c>
      <c r="U10" s="55"/>
      <c r="V10" s="57"/>
      <c r="W10" s="57"/>
      <c r="X10" s="58">
        <v>0</v>
      </c>
      <c r="Y10" s="55" t="s">
        <v>51</v>
      </c>
      <c r="Z10" s="57"/>
      <c r="AA10" s="57"/>
      <c r="AB10" s="58">
        <f>SUM(AB11:AB42)</f>
        <v>764</v>
      </c>
      <c r="AC10" s="55"/>
      <c r="AD10" s="57"/>
      <c r="AE10" s="57"/>
      <c r="AF10" s="58">
        <f>SUM(AF11:AF42)</f>
        <v>141.19999999999999</v>
      </c>
      <c r="AG10" s="55"/>
      <c r="AH10" s="57"/>
      <c r="AI10" s="57"/>
      <c r="AJ10" s="58">
        <f>SUM(AJ11:AJ42)</f>
        <v>2903.2</v>
      </c>
      <c r="AK10" s="56"/>
      <c r="AL10" s="93">
        <f>SUM(AL11:AL42)</f>
        <v>5055.0399538662505</v>
      </c>
    </row>
    <row r="11" spans="1:38">
      <c r="A11" s="170" t="s">
        <v>0</v>
      </c>
      <c r="B11" s="8" t="s">
        <v>1</v>
      </c>
      <c r="C11" s="8">
        <v>260</v>
      </c>
      <c r="D11" s="9">
        <v>1835316.32</v>
      </c>
      <c r="E11" s="9">
        <f t="shared" ref="E11:E20" si="3">D11*$A$2</f>
        <v>555183.18680000002</v>
      </c>
      <c r="F11" s="9">
        <f t="shared" ref="F11:F42" si="4">E11*$B$2</f>
        <v>1165884.6922800001</v>
      </c>
      <c r="G11" s="9">
        <f>F11/1000</f>
        <v>1165.8846922800001</v>
      </c>
      <c r="H11" s="9">
        <f t="shared" ref="H11:H42" si="5">F11*$C$2</f>
        <v>816119.28459599998</v>
      </c>
      <c r="I11" s="20">
        <f>H11/1000</f>
        <v>816.11928459599994</v>
      </c>
      <c r="J11" s="23"/>
      <c r="K11" s="24"/>
      <c r="L11" s="24">
        <v>500</v>
      </c>
      <c r="M11" s="29"/>
      <c r="N11" s="23"/>
      <c r="O11" s="24"/>
      <c r="P11" s="24"/>
      <c r="Q11" s="38"/>
      <c r="R11" s="23"/>
      <c r="S11" s="24"/>
      <c r="T11" s="24"/>
      <c r="U11" s="38"/>
      <c r="V11" s="23"/>
      <c r="W11" s="24"/>
      <c r="X11" s="24"/>
      <c r="Y11" s="38"/>
      <c r="Z11" s="23"/>
      <c r="AA11" s="24"/>
      <c r="AB11" s="24"/>
      <c r="AC11" s="38"/>
      <c r="AD11" s="23"/>
      <c r="AE11" s="24"/>
      <c r="AF11" s="24"/>
      <c r="AG11" s="38"/>
      <c r="AH11" s="73"/>
      <c r="AI11" s="74"/>
      <c r="AJ11" s="74">
        <f>SUM(AF11,AB11,X11,T11,P11,L11)</f>
        <v>500</v>
      </c>
      <c r="AK11" s="83">
        <f t="shared" ref="AK11" si="6">SUM(AK9:AK10)</f>
        <v>0</v>
      </c>
      <c r="AL11" s="94">
        <f>I11-AJ11</f>
        <v>316.11928459599994</v>
      </c>
    </row>
    <row r="12" spans="1:38">
      <c r="A12" s="138"/>
      <c r="B12" s="3" t="s">
        <v>2</v>
      </c>
      <c r="C12" s="3">
        <v>3</v>
      </c>
      <c r="D12" s="4">
        <v>27368</v>
      </c>
      <c r="E12" s="4">
        <f t="shared" si="3"/>
        <v>8278.82</v>
      </c>
      <c r="F12" s="4">
        <f t="shared" si="4"/>
        <v>17385.522000000001</v>
      </c>
      <c r="G12" s="4">
        <f t="shared" ref="G12:G42" si="7">F12/1000</f>
        <v>17.385522000000002</v>
      </c>
      <c r="H12" s="4">
        <f t="shared" si="5"/>
        <v>12169.865400000001</v>
      </c>
      <c r="I12" s="21">
        <f t="shared" ref="I12:I42" si="8">H12/1000</f>
        <v>12.169865400000001</v>
      </c>
      <c r="J12" s="25"/>
      <c r="K12" s="26"/>
      <c r="L12" s="26"/>
      <c r="M12" s="30"/>
      <c r="N12" s="25"/>
      <c r="O12" s="26"/>
      <c r="P12" s="26"/>
      <c r="Q12" s="39"/>
      <c r="R12" s="25"/>
      <c r="S12" s="26"/>
      <c r="T12" s="26"/>
      <c r="U12" s="39"/>
      <c r="V12" s="25"/>
      <c r="W12" s="26"/>
      <c r="X12" s="26"/>
      <c r="Y12" s="39"/>
      <c r="Z12" s="25"/>
      <c r="AA12" s="26"/>
      <c r="AB12" s="26"/>
      <c r="AC12" s="39"/>
      <c r="AD12" s="25"/>
      <c r="AE12" s="26"/>
      <c r="AF12" s="26"/>
      <c r="AG12" s="39"/>
      <c r="AH12" s="23"/>
      <c r="AI12" s="26"/>
      <c r="AJ12" s="24">
        <f t="shared" ref="AJ12:AJ41" si="9">SUM(AF12,AB12,X12,T12,P12,L12)</f>
        <v>0</v>
      </c>
      <c r="AK12" s="30"/>
      <c r="AL12" s="95"/>
    </row>
    <row r="13" spans="1:38">
      <c r="A13" s="61" t="s">
        <v>3</v>
      </c>
      <c r="B13" s="3" t="s">
        <v>1</v>
      </c>
      <c r="C13" s="3">
        <v>20</v>
      </c>
      <c r="D13" s="4">
        <v>149057</v>
      </c>
      <c r="E13" s="4">
        <f t="shared" si="3"/>
        <v>45089.7425</v>
      </c>
      <c r="F13" s="4">
        <f t="shared" si="4"/>
        <v>94688.45925</v>
      </c>
      <c r="G13" s="4">
        <f t="shared" si="7"/>
        <v>94.688459249999994</v>
      </c>
      <c r="H13" s="4">
        <f t="shared" si="5"/>
        <v>66281.921474999996</v>
      </c>
      <c r="I13" s="21">
        <f t="shared" si="8"/>
        <v>66.28192147499999</v>
      </c>
      <c r="J13" s="25"/>
      <c r="K13" s="26"/>
      <c r="L13" s="26"/>
      <c r="M13" s="30"/>
      <c r="N13" s="25"/>
      <c r="O13" s="26"/>
      <c r="P13" s="26"/>
      <c r="Q13" s="39"/>
      <c r="R13" s="25"/>
      <c r="S13" s="26"/>
      <c r="T13" s="26"/>
      <c r="U13" s="39"/>
      <c r="V13" s="25"/>
      <c r="W13" s="26"/>
      <c r="X13" s="26"/>
      <c r="Y13" s="39"/>
      <c r="Z13" s="25"/>
      <c r="AA13" s="26"/>
      <c r="AB13" s="26"/>
      <c r="AC13" s="39"/>
      <c r="AD13" s="25"/>
      <c r="AE13" s="26"/>
      <c r="AF13" s="26"/>
      <c r="AG13" s="39"/>
      <c r="AH13" s="23"/>
      <c r="AI13" s="26"/>
      <c r="AJ13" s="24">
        <f t="shared" si="9"/>
        <v>0</v>
      </c>
      <c r="AK13" s="30"/>
      <c r="AL13" s="95">
        <f t="shared" ref="AL13:AL41" si="10">I13-AJ13</f>
        <v>66.28192147499999</v>
      </c>
    </row>
    <row r="14" spans="1:38">
      <c r="A14" s="61" t="s">
        <v>4</v>
      </c>
      <c r="B14" s="3" t="s">
        <v>1</v>
      </c>
      <c r="C14" s="3">
        <v>171</v>
      </c>
      <c r="D14" s="4">
        <v>1255059</v>
      </c>
      <c r="E14" s="4">
        <f t="shared" si="3"/>
        <v>379655.34749999997</v>
      </c>
      <c r="F14" s="4">
        <f t="shared" si="4"/>
        <v>797276.22974999994</v>
      </c>
      <c r="G14" s="4">
        <f t="shared" si="7"/>
        <v>797.27622974999997</v>
      </c>
      <c r="H14" s="4">
        <f t="shared" si="5"/>
        <v>558093.36082499987</v>
      </c>
      <c r="I14" s="21">
        <f t="shared" si="8"/>
        <v>558.09336082499988</v>
      </c>
      <c r="J14" s="25"/>
      <c r="K14" s="26"/>
      <c r="L14" s="26"/>
      <c r="M14" s="30"/>
      <c r="N14" s="25"/>
      <c r="O14" s="26"/>
      <c r="P14" s="26"/>
      <c r="Q14" s="39"/>
      <c r="R14" s="25"/>
      <c r="S14" s="26"/>
      <c r="T14" s="26"/>
      <c r="U14" s="39"/>
      <c r="V14" s="25"/>
      <c r="W14" s="26"/>
      <c r="X14" s="26"/>
      <c r="Y14" s="39"/>
      <c r="Z14" s="25"/>
      <c r="AA14" s="26"/>
      <c r="AB14" s="26"/>
      <c r="AC14" s="39"/>
      <c r="AD14" s="25"/>
      <c r="AE14" s="26"/>
      <c r="AF14" s="26"/>
      <c r="AG14" s="39"/>
      <c r="AH14" s="23"/>
      <c r="AI14" s="26"/>
      <c r="AJ14" s="24">
        <f t="shared" si="9"/>
        <v>0</v>
      </c>
      <c r="AK14" s="30"/>
      <c r="AL14" s="95">
        <f t="shared" si="10"/>
        <v>558.09336082499988</v>
      </c>
    </row>
    <row r="15" spans="1:38">
      <c r="A15" s="138" t="s">
        <v>5</v>
      </c>
      <c r="B15" s="3" t="s">
        <v>1</v>
      </c>
      <c r="C15" s="3">
        <v>45</v>
      </c>
      <c r="D15" s="4">
        <v>1033092</v>
      </c>
      <c r="E15" s="4">
        <f t="shared" si="3"/>
        <v>312510.33</v>
      </c>
      <c r="F15" s="4">
        <f t="shared" si="4"/>
        <v>656271.69300000009</v>
      </c>
      <c r="G15" s="4">
        <f t="shared" si="7"/>
        <v>656.27169300000014</v>
      </c>
      <c r="H15" s="4">
        <f t="shared" si="5"/>
        <v>459390.1851</v>
      </c>
      <c r="I15" s="21">
        <f t="shared" si="8"/>
        <v>459.3901851</v>
      </c>
      <c r="J15" s="25"/>
      <c r="K15" s="26"/>
      <c r="L15" s="26"/>
      <c r="M15" s="30"/>
      <c r="N15" s="25"/>
      <c r="O15" s="26"/>
      <c r="P15" s="26"/>
      <c r="Q15" s="39"/>
      <c r="R15" s="25"/>
      <c r="S15" s="26"/>
      <c r="T15" s="26"/>
      <c r="U15" s="39"/>
      <c r="V15" s="25"/>
      <c r="W15" s="26"/>
      <c r="X15" s="26"/>
      <c r="Y15" s="39"/>
      <c r="Z15" s="25"/>
      <c r="AA15" s="26"/>
      <c r="AB15" s="26"/>
      <c r="AC15" s="39"/>
      <c r="AD15" s="25"/>
      <c r="AE15" s="26"/>
      <c r="AF15" s="26"/>
      <c r="AG15" s="39"/>
      <c r="AH15" s="23"/>
      <c r="AI15" s="26"/>
      <c r="AJ15" s="24">
        <f t="shared" si="9"/>
        <v>0</v>
      </c>
      <c r="AK15" s="30"/>
      <c r="AL15" s="95">
        <f t="shared" si="10"/>
        <v>459.3901851</v>
      </c>
    </row>
    <row r="16" spans="1:38">
      <c r="A16" s="138"/>
      <c r="B16" s="3" t="s">
        <v>2</v>
      </c>
      <c r="C16" s="3">
        <v>6</v>
      </c>
      <c r="D16" s="4">
        <v>79132</v>
      </c>
      <c r="E16" s="4">
        <f t="shared" si="3"/>
        <v>23937.43</v>
      </c>
      <c r="F16" s="4">
        <f t="shared" si="4"/>
        <v>50268.603000000003</v>
      </c>
      <c r="G16" s="4">
        <f t="shared" si="7"/>
        <v>50.268603000000006</v>
      </c>
      <c r="H16" s="4">
        <f t="shared" si="5"/>
        <v>35188.022100000002</v>
      </c>
      <c r="I16" s="21">
        <f t="shared" si="8"/>
        <v>35.188022100000005</v>
      </c>
      <c r="J16" s="25"/>
      <c r="K16" s="26"/>
      <c r="L16" s="26"/>
      <c r="M16" s="30"/>
      <c r="N16" s="25"/>
      <c r="O16" s="26"/>
      <c r="P16" s="26"/>
      <c r="Q16" s="39"/>
      <c r="R16" s="25"/>
      <c r="S16" s="26"/>
      <c r="T16" s="26"/>
      <c r="U16" s="39"/>
      <c r="V16" s="25"/>
      <c r="W16" s="26"/>
      <c r="X16" s="26"/>
      <c r="Y16" s="39"/>
      <c r="Z16" s="25"/>
      <c r="AA16" s="26"/>
      <c r="AB16" s="26"/>
      <c r="AC16" s="39"/>
      <c r="AD16" s="25"/>
      <c r="AE16" s="26"/>
      <c r="AF16" s="26"/>
      <c r="AG16" s="39"/>
      <c r="AH16" s="23"/>
      <c r="AI16" s="26"/>
      <c r="AJ16" s="24">
        <f t="shared" si="9"/>
        <v>0</v>
      </c>
      <c r="AK16" s="30"/>
      <c r="AL16" s="95"/>
    </row>
    <row r="17" spans="1:38">
      <c r="A17" s="138" t="s">
        <v>6</v>
      </c>
      <c r="B17" s="3" t="s">
        <v>1</v>
      </c>
      <c r="C17" s="3">
        <v>97</v>
      </c>
      <c r="D17" s="4">
        <v>470726.5</v>
      </c>
      <c r="E17" s="4">
        <f t="shared" si="3"/>
        <v>142394.76624999999</v>
      </c>
      <c r="F17" s="4">
        <f t="shared" si="4"/>
        <v>299029.00912499998</v>
      </c>
      <c r="G17" s="4">
        <f t="shared" si="7"/>
        <v>299.02900912499996</v>
      </c>
      <c r="H17" s="4">
        <f t="shared" si="5"/>
        <v>209320.30638749996</v>
      </c>
      <c r="I17" s="21">
        <f t="shared" si="8"/>
        <v>209.32030638749995</v>
      </c>
      <c r="J17" s="25"/>
      <c r="K17" s="26"/>
      <c r="L17" s="26"/>
      <c r="M17" s="30"/>
      <c r="N17" s="25"/>
      <c r="O17" s="26"/>
      <c r="P17" s="26"/>
      <c r="Q17" s="39"/>
      <c r="R17" s="25"/>
      <c r="S17" s="26"/>
      <c r="T17" s="26"/>
      <c r="U17" s="39"/>
      <c r="V17" s="25"/>
      <c r="W17" s="26"/>
      <c r="X17" s="26"/>
      <c r="Y17" s="39"/>
      <c r="Z17" s="25"/>
      <c r="AA17" s="26"/>
      <c r="AB17" s="26"/>
      <c r="AC17" s="39"/>
      <c r="AD17" s="25"/>
      <c r="AE17" s="26"/>
      <c r="AF17" s="26"/>
      <c r="AG17" s="39"/>
      <c r="AH17" s="23"/>
      <c r="AI17" s="26"/>
      <c r="AJ17" s="24">
        <f t="shared" si="9"/>
        <v>0</v>
      </c>
      <c r="AK17" s="30"/>
      <c r="AL17" s="95">
        <f t="shared" si="10"/>
        <v>209.32030638749995</v>
      </c>
    </row>
    <row r="18" spans="1:38">
      <c r="A18" s="138"/>
      <c r="B18" s="3" t="s">
        <v>2</v>
      </c>
      <c r="C18" s="3">
        <v>15</v>
      </c>
      <c r="D18" s="4">
        <v>97251</v>
      </c>
      <c r="E18" s="4">
        <f t="shared" si="3"/>
        <v>29418.427499999998</v>
      </c>
      <c r="F18" s="4">
        <f t="shared" si="4"/>
        <v>61778.697749999999</v>
      </c>
      <c r="G18" s="4">
        <f t="shared" si="7"/>
        <v>61.778697749999999</v>
      </c>
      <c r="H18" s="4">
        <f t="shared" si="5"/>
        <v>43245.088424999994</v>
      </c>
      <c r="I18" s="21">
        <f t="shared" si="8"/>
        <v>43.245088424999992</v>
      </c>
      <c r="J18" s="25"/>
      <c r="K18" s="26"/>
      <c r="L18" s="26"/>
      <c r="M18" s="30"/>
      <c r="N18" s="25"/>
      <c r="O18" s="26"/>
      <c r="P18" s="26"/>
      <c r="Q18" s="39"/>
      <c r="R18" s="25"/>
      <c r="S18" s="26"/>
      <c r="T18" s="26"/>
      <c r="U18" s="39"/>
      <c r="V18" s="25"/>
      <c r="W18" s="26"/>
      <c r="X18" s="26"/>
      <c r="Y18" s="39"/>
      <c r="Z18" s="25"/>
      <c r="AA18" s="26"/>
      <c r="AB18" s="26"/>
      <c r="AC18" s="39"/>
      <c r="AD18" s="25"/>
      <c r="AE18" s="26"/>
      <c r="AF18" s="26"/>
      <c r="AG18" s="39"/>
      <c r="AH18" s="23"/>
      <c r="AI18" s="26"/>
      <c r="AJ18" s="24">
        <f t="shared" si="9"/>
        <v>0</v>
      </c>
      <c r="AK18" s="30"/>
      <c r="AL18" s="95"/>
    </row>
    <row r="19" spans="1:38">
      <c r="A19" s="61" t="s">
        <v>7</v>
      </c>
      <c r="B19" s="3" t="s">
        <v>1</v>
      </c>
      <c r="C19" s="3">
        <v>71</v>
      </c>
      <c r="D19" s="4">
        <v>201266</v>
      </c>
      <c r="E19" s="4">
        <f t="shared" si="3"/>
        <v>60882.964999999997</v>
      </c>
      <c r="F19" s="4">
        <f t="shared" si="4"/>
        <v>127854.2265</v>
      </c>
      <c r="G19" s="4">
        <f t="shared" si="7"/>
        <v>127.85422650000001</v>
      </c>
      <c r="H19" s="4">
        <f t="shared" si="5"/>
        <v>89497.958549999996</v>
      </c>
      <c r="I19" s="21">
        <f t="shared" si="8"/>
        <v>89.497958549999993</v>
      </c>
      <c r="J19" s="25"/>
      <c r="K19" s="26"/>
      <c r="L19" s="26"/>
      <c r="M19" s="30"/>
      <c r="N19" s="25"/>
      <c r="O19" s="26"/>
      <c r="P19" s="26">
        <v>200</v>
      </c>
      <c r="Q19" s="42"/>
      <c r="R19" s="25"/>
      <c r="S19" s="26"/>
      <c r="T19" s="26"/>
      <c r="U19" s="42"/>
      <c r="V19" s="25"/>
      <c r="W19" s="26"/>
      <c r="X19" s="26"/>
      <c r="Y19" s="42"/>
      <c r="Z19" s="25"/>
      <c r="AA19" s="26"/>
      <c r="AB19" s="26"/>
      <c r="AC19" s="42"/>
      <c r="AD19" s="25"/>
      <c r="AE19" s="26"/>
      <c r="AF19" s="26"/>
      <c r="AG19" s="42"/>
      <c r="AH19" s="23"/>
      <c r="AI19" s="26"/>
      <c r="AJ19" s="24">
        <f t="shared" si="9"/>
        <v>200</v>
      </c>
      <c r="AK19" s="84"/>
      <c r="AL19" s="95">
        <f t="shared" si="10"/>
        <v>-110.50204145000001</v>
      </c>
    </row>
    <row r="20" spans="1:38">
      <c r="A20" s="61" t="s">
        <v>8</v>
      </c>
      <c r="B20" s="3" t="s">
        <v>1</v>
      </c>
      <c r="C20" s="3">
        <v>1</v>
      </c>
      <c r="D20" s="4">
        <v>31722</v>
      </c>
      <c r="E20" s="4">
        <f t="shared" si="3"/>
        <v>9595.9049999999988</v>
      </c>
      <c r="F20" s="4">
        <f t="shared" si="4"/>
        <v>20151.4005</v>
      </c>
      <c r="G20" s="4">
        <f t="shared" si="7"/>
        <v>20.151400500000001</v>
      </c>
      <c r="H20" s="4">
        <f t="shared" si="5"/>
        <v>14105.98035</v>
      </c>
      <c r="I20" s="21">
        <f t="shared" si="8"/>
        <v>14.105980349999999</v>
      </c>
      <c r="J20" s="25"/>
      <c r="K20" s="26"/>
      <c r="L20" s="26"/>
      <c r="M20" s="30"/>
      <c r="N20" s="25"/>
      <c r="O20" s="26"/>
      <c r="P20" s="26"/>
      <c r="Q20" s="39"/>
      <c r="R20" s="25"/>
      <c r="S20" s="26"/>
      <c r="T20" s="26"/>
      <c r="U20" s="39"/>
      <c r="V20" s="25"/>
      <c r="W20" s="26"/>
      <c r="X20" s="26"/>
      <c r="Y20" s="39"/>
      <c r="Z20" s="25"/>
      <c r="AA20" s="26"/>
      <c r="AB20" s="26"/>
      <c r="AC20" s="39"/>
      <c r="AD20" s="25"/>
      <c r="AE20" s="26"/>
      <c r="AF20" s="26"/>
      <c r="AG20" s="39"/>
      <c r="AH20" s="23"/>
      <c r="AI20" s="26"/>
      <c r="AJ20" s="24">
        <f t="shared" si="9"/>
        <v>0</v>
      </c>
      <c r="AK20" s="30"/>
      <c r="AL20" s="95">
        <f t="shared" si="10"/>
        <v>14.105980349999999</v>
      </c>
    </row>
    <row r="21" spans="1:38">
      <c r="A21" s="61" t="s">
        <v>9</v>
      </c>
      <c r="B21" s="3" t="s">
        <v>2</v>
      </c>
      <c r="C21" s="3">
        <v>5</v>
      </c>
      <c r="D21" s="4">
        <v>42579</v>
      </c>
      <c r="E21" s="4">
        <v>18000</v>
      </c>
      <c r="F21" s="4">
        <f t="shared" si="4"/>
        <v>37800</v>
      </c>
      <c r="G21" s="4">
        <v>40</v>
      </c>
      <c r="H21" s="4">
        <f t="shared" si="5"/>
        <v>26460</v>
      </c>
      <c r="I21" s="21">
        <v>28</v>
      </c>
      <c r="J21" s="25"/>
      <c r="K21" s="26"/>
      <c r="L21" s="26"/>
      <c r="M21" s="30"/>
      <c r="N21" s="25"/>
      <c r="O21" s="26"/>
      <c r="P21" s="26"/>
      <c r="Q21" s="39"/>
      <c r="R21" s="25"/>
      <c r="S21" s="26"/>
      <c r="T21" s="26">
        <v>30</v>
      </c>
      <c r="U21" s="45" t="s">
        <v>46</v>
      </c>
      <c r="V21" s="25"/>
      <c r="W21" s="26"/>
      <c r="X21" s="26"/>
      <c r="Y21" s="45"/>
      <c r="Z21" s="25"/>
      <c r="AA21" s="26"/>
      <c r="AB21" s="26"/>
      <c r="AC21" s="45"/>
      <c r="AD21" s="25"/>
      <c r="AE21" s="26"/>
      <c r="AF21" s="26"/>
      <c r="AG21" s="45"/>
      <c r="AH21" s="23"/>
      <c r="AI21" s="26"/>
      <c r="AJ21" s="24">
        <f t="shared" si="9"/>
        <v>30</v>
      </c>
      <c r="AK21" s="85"/>
      <c r="AL21" s="95"/>
    </row>
    <row r="22" spans="1:38">
      <c r="A22" s="138" t="s">
        <v>10</v>
      </c>
      <c r="B22" s="3" t="s">
        <v>1</v>
      </c>
      <c r="C22" s="3">
        <v>68</v>
      </c>
      <c r="D22" s="4">
        <v>572153.53</v>
      </c>
      <c r="E22" s="4">
        <f t="shared" ref="E22:E42" si="11">D22*$A$2</f>
        <v>173076.44282500001</v>
      </c>
      <c r="F22" s="4">
        <f t="shared" si="4"/>
        <v>363460.52993250004</v>
      </c>
      <c r="G22" s="4">
        <f t="shared" si="7"/>
        <v>363.46052993250004</v>
      </c>
      <c r="H22" s="4">
        <f t="shared" si="5"/>
        <v>254422.37095275</v>
      </c>
      <c r="I22" s="21">
        <f t="shared" si="8"/>
        <v>254.42237095275001</v>
      </c>
      <c r="J22" s="25"/>
      <c r="K22" s="26"/>
      <c r="L22" s="26"/>
      <c r="M22" s="30"/>
      <c r="N22" s="25"/>
      <c r="O22" s="26"/>
      <c r="P22" s="26"/>
      <c r="Q22" s="39"/>
      <c r="R22" s="25"/>
      <c r="S22" s="26"/>
      <c r="T22" s="26"/>
      <c r="U22" s="39"/>
      <c r="V22" s="25"/>
      <c r="W22" s="26"/>
      <c r="X22" s="26"/>
      <c r="Y22" s="39"/>
      <c r="Z22" s="25"/>
      <c r="AA22" s="26"/>
      <c r="AB22" s="26"/>
      <c r="AC22" s="39"/>
      <c r="AD22" s="25"/>
      <c r="AE22" s="26"/>
      <c r="AF22" s="26"/>
      <c r="AG22" s="39"/>
      <c r="AH22" s="23"/>
      <c r="AI22" s="26"/>
      <c r="AJ22" s="24">
        <f t="shared" si="9"/>
        <v>0</v>
      </c>
      <c r="AK22" s="30"/>
      <c r="AL22" s="95">
        <f t="shared" si="10"/>
        <v>254.42237095275001</v>
      </c>
    </row>
    <row r="23" spans="1:38">
      <c r="A23" s="138"/>
      <c r="B23" s="3" t="s">
        <v>2</v>
      </c>
      <c r="C23" s="3">
        <v>93</v>
      </c>
      <c r="D23" s="4">
        <v>780737.1</v>
      </c>
      <c r="E23" s="4">
        <f t="shared" si="11"/>
        <v>236172.97274999999</v>
      </c>
      <c r="F23" s="4">
        <f t="shared" si="4"/>
        <v>495963.24277499999</v>
      </c>
      <c r="G23" s="4">
        <f t="shared" si="7"/>
        <v>495.96324277499997</v>
      </c>
      <c r="H23" s="4">
        <f t="shared" si="5"/>
        <v>347174.26994249999</v>
      </c>
      <c r="I23" s="21">
        <f t="shared" si="8"/>
        <v>347.17426994249996</v>
      </c>
      <c r="J23" s="25"/>
      <c r="K23" s="26"/>
      <c r="L23" s="26"/>
      <c r="M23" s="30"/>
      <c r="N23" s="25"/>
      <c r="O23" s="26"/>
      <c r="P23" s="26"/>
      <c r="Q23" s="39"/>
      <c r="R23" s="25"/>
      <c r="S23" s="26"/>
      <c r="T23" s="26"/>
      <c r="U23" s="39"/>
      <c r="V23" s="25"/>
      <c r="W23" s="26"/>
      <c r="X23" s="26"/>
      <c r="Y23" s="39"/>
      <c r="Z23" s="25"/>
      <c r="AA23" s="26"/>
      <c r="AB23" s="26"/>
      <c r="AC23" s="39"/>
      <c r="AD23" s="25"/>
      <c r="AE23" s="26"/>
      <c r="AF23" s="26"/>
      <c r="AG23" s="39"/>
      <c r="AH23" s="23"/>
      <c r="AI23" s="26"/>
      <c r="AJ23" s="24">
        <f t="shared" si="9"/>
        <v>0</v>
      </c>
      <c r="AK23" s="30"/>
      <c r="AL23" s="95"/>
    </row>
    <row r="24" spans="1:38" ht="16.5" customHeight="1">
      <c r="A24" s="138" t="s">
        <v>11</v>
      </c>
      <c r="B24" s="3" t="s">
        <v>1</v>
      </c>
      <c r="C24" s="3">
        <v>729</v>
      </c>
      <c r="D24" s="4">
        <v>4697268.0999999996</v>
      </c>
      <c r="E24" s="4">
        <f t="shared" si="11"/>
        <v>1420923.6002499999</v>
      </c>
      <c r="F24" s="4">
        <f t="shared" si="4"/>
        <v>2983939.5605250001</v>
      </c>
      <c r="G24" s="4">
        <f t="shared" si="7"/>
        <v>2983.9395605250002</v>
      </c>
      <c r="H24" s="4">
        <f t="shared" si="5"/>
        <v>2088757.6923674999</v>
      </c>
      <c r="I24" s="21">
        <f t="shared" si="8"/>
        <v>2088.7576923675001</v>
      </c>
      <c r="J24" s="25"/>
      <c r="K24" s="26"/>
      <c r="L24" s="32">
        <v>750</v>
      </c>
      <c r="M24" s="33" t="s">
        <v>42</v>
      </c>
      <c r="N24" s="25"/>
      <c r="O24" s="26"/>
      <c r="P24" s="32"/>
      <c r="Q24" s="40"/>
      <c r="R24" s="25"/>
      <c r="S24" s="26"/>
      <c r="T24" s="32"/>
      <c r="U24" s="40"/>
      <c r="V24" s="25"/>
      <c r="W24" s="26"/>
      <c r="X24" s="32"/>
      <c r="Y24" s="40"/>
      <c r="Z24" s="25"/>
      <c r="AA24" s="26"/>
      <c r="AB24" s="32"/>
      <c r="AC24" s="40"/>
      <c r="AD24" s="65">
        <v>18</v>
      </c>
      <c r="AE24" s="66">
        <v>11640</v>
      </c>
      <c r="AF24" s="67">
        <v>141.19999999999999</v>
      </c>
      <c r="AG24" s="68" t="s">
        <v>54</v>
      </c>
      <c r="AH24" s="23"/>
      <c r="AI24" s="66"/>
      <c r="AJ24" s="24">
        <f t="shared" si="9"/>
        <v>891.2</v>
      </c>
      <c r="AK24" s="86"/>
      <c r="AL24" s="95">
        <f t="shared" si="10"/>
        <v>1197.5576923675001</v>
      </c>
    </row>
    <row r="25" spans="1:38">
      <c r="A25" s="138"/>
      <c r="B25" s="3" t="s">
        <v>2</v>
      </c>
      <c r="C25" s="3">
        <v>256</v>
      </c>
      <c r="D25" s="4">
        <v>2065851.3</v>
      </c>
      <c r="E25" s="4">
        <f t="shared" si="11"/>
        <v>624920.01824999996</v>
      </c>
      <c r="F25" s="4">
        <f t="shared" si="4"/>
        <v>1312332.0383250001</v>
      </c>
      <c r="G25" s="4">
        <f t="shared" si="7"/>
        <v>1312.332038325</v>
      </c>
      <c r="H25" s="4">
        <f t="shared" si="5"/>
        <v>918632.42682749999</v>
      </c>
      <c r="I25" s="21">
        <f t="shared" si="8"/>
        <v>918.63242682750001</v>
      </c>
      <c r="J25" s="25"/>
      <c r="K25" s="26"/>
      <c r="L25" s="26"/>
      <c r="M25" s="30"/>
      <c r="N25" s="25"/>
      <c r="O25" s="26"/>
      <c r="P25" s="26"/>
      <c r="Q25" s="39"/>
      <c r="R25" s="25"/>
      <c r="S25" s="26"/>
      <c r="T25" s="26"/>
      <c r="U25" s="39"/>
      <c r="V25" s="25"/>
      <c r="W25" s="26"/>
      <c r="X25" s="26"/>
      <c r="Y25" s="39"/>
      <c r="Z25" s="25"/>
      <c r="AA25" s="26"/>
      <c r="AB25" s="26"/>
      <c r="AC25" s="39"/>
      <c r="AD25" s="25"/>
      <c r="AE25" s="26"/>
      <c r="AF25" s="26"/>
      <c r="AG25" s="39"/>
      <c r="AH25" s="23"/>
      <c r="AI25" s="26"/>
      <c r="AJ25" s="24">
        <f t="shared" si="9"/>
        <v>0</v>
      </c>
      <c r="AK25" s="30"/>
      <c r="AL25" s="95"/>
    </row>
    <row r="26" spans="1:38">
      <c r="A26" s="138" t="s">
        <v>12</v>
      </c>
      <c r="B26" s="3" t="s">
        <v>1</v>
      </c>
      <c r="C26" s="3">
        <v>120</v>
      </c>
      <c r="D26" s="4">
        <v>1532686.2</v>
      </c>
      <c r="E26" s="4">
        <f t="shared" si="11"/>
        <v>463637.57549999998</v>
      </c>
      <c r="F26" s="4">
        <f t="shared" si="4"/>
        <v>973638.90855000005</v>
      </c>
      <c r="G26" s="4">
        <f t="shared" si="7"/>
        <v>973.63890855</v>
      </c>
      <c r="H26" s="4">
        <f t="shared" si="5"/>
        <v>681547.23598500004</v>
      </c>
      <c r="I26" s="21">
        <f t="shared" si="8"/>
        <v>681.54723598500004</v>
      </c>
      <c r="J26" s="25"/>
      <c r="K26" s="26"/>
      <c r="L26" s="26"/>
      <c r="M26" s="30"/>
      <c r="N26" s="25"/>
      <c r="O26" s="26"/>
      <c r="P26" s="26"/>
      <c r="Q26" s="39"/>
      <c r="R26" s="25"/>
      <c r="S26" s="26"/>
      <c r="T26" s="26"/>
      <c r="U26" s="39"/>
      <c r="V26" s="25"/>
      <c r="W26" s="26"/>
      <c r="X26" s="26"/>
      <c r="Y26" s="39"/>
      <c r="Z26" s="25"/>
      <c r="AA26" s="26"/>
      <c r="AB26" s="26"/>
      <c r="AC26" s="39"/>
      <c r="AD26" s="25"/>
      <c r="AE26" s="26"/>
      <c r="AF26" s="26"/>
      <c r="AG26" s="39"/>
      <c r="AH26" s="23"/>
      <c r="AI26" s="26"/>
      <c r="AJ26" s="24">
        <f t="shared" si="9"/>
        <v>0</v>
      </c>
      <c r="AK26" s="30"/>
      <c r="AL26" s="95">
        <f t="shared" si="10"/>
        <v>681.54723598500004</v>
      </c>
    </row>
    <row r="27" spans="1:38">
      <c r="A27" s="138"/>
      <c r="B27" s="3" t="s">
        <v>2</v>
      </c>
      <c r="C27" s="3">
        <v>88</v>
      </c>
      <c r="D27" s="4">
        <v>1075890.2</v>
      </c>
      <c r="E27" s="4">
        <f t="shared" si="11"/>
        <v>325456.7855</v>
      </c>
      <c r="F27" s="4">
        <f t="shared" si="4"/>
        <v>683459.24955000007</v>
      </c>
      <c r="G27" s="4">
        <f t="shared" si="7"/>
        <v>683.4592495500001</v>
      </c>
      <c r="H27" s="4">
        <f t="shared" si="5"/>
        <v>478421.47468500002</v>
      </c>
      <c r="I27" s="21">
        <f t="shared" si="8"/>
        <v>478.42147468500002</v>
      </c>
      <c r="J27" s="25"/>
      <c r="K27" s="26"/>
      <c r="L27" s="26"/>
      <c r="M27" s="30"/>
      <c r="N27" s="25"/>
      <c r="O27" s="26"/>
      <c r="P27" s="26"/>
      <c r="Q27" s="39"/>
      <c r="R27" s="25"/>
      <c r="S27" s="26"/>
      <c r="T27" s="26"/>
      <c r="U27" s="39"/>
      <c r="V27" s="25"/>
      <c r="W27" s="26"/>
      <c r="X27" s="26"/>
      <c r="Y27" s="39"/>
      <c r="Z27" s="25"/>
      <c r="AA27" s="26"/>
      <c r="AB27" s="26"/>
      <c r="AC27" s="39"/>
      <c r="AD27" s="25"/>
      <c r="AE27" s="26"/>
      <c r="AF27" s="26"/>
      <c r="AG27" s="39"/>
      <c r="AH27" s="23"/>
      <c r="AI27" s="26"/>
      <c r="AJ27" s="24">
        <f t="shared" si="9"/>
        <v>0</v>
      </c>
      <c r="AK27" s="30"/>
      <c r="AL27" s="95"/>
    </row>
    <row r="28" spans="1:38">
      <c r="A28" s="138" t="s">
        <v>13</v>
      </c>
      <c r="B28" s="3" t="s">
        <v>1</v>
      </c>
      <c r="C28" s="3">
        <v>96</v>
      </c>
      <c r="D28" s="4">
        <v>1370772.8</v>
      </c>
      <c r="E28" s="4">
        <f t="shared" si="11"/>
        <v>414658.772</v>
      </c>
      <c r="F28" s="4">
        <f t="shared" si="4"/>
        <v>870783.42119999998</v>
      </c>
      <c r="G28" s="4">
        <f t="shared" si="7"/>
        <v>870.78342120000002</v>
      </c>
      <c r="H28" s="4">
        <f t="shared" si="5"/>
        <v>609548.39483999996</v>
      </c>
      <c r="I28" s="21">
        <f t="shared" si="8"/>
        <v>609.54839484000001</v>
      </c>
      <c r="J28" s="25"/>
      <c r="K28" s="26"/>
      <c r="L28" s="26"/>
      <c r="M28" s="30"/>
      <c r="N28" s="25"/>
      <c r="O28" s="26"/>
      <c r="P28" s="26"/>
      <c r="Q28" s="39"/>
      <c r="R28" s="25"/>
      <c r="S28" s="26"/>
      <c r="T28" s="26"/>
      <c r="U28" s="39"/>
      <c r="V28" s="25"/>
      <c r="W28" s="26"/>
      <c r="X28" s="26"/>
      <c r="Y28" s="39"/>
      <c r="Z28" s="25"/>
      <c r="AA28" s="26"/>
      <c r="AB28" s="26"/>
      <c r="AC28" s="39"/>
      <c r="AD28" s="25"/>
      <c r="AE28" s="26"/>
      <c r="AF28" s="26"/>
      <c r="AG28" s="39"/>
      <c r="AH28" s="23"/>
      <c r="AI28" s="26"/>
      <c r="AJ28" s="24">
        <f t="shared" si="9"/>
        <v>0</v>
      </c>
      <c r="AK28" s="30"/>
      <c r="AL28" s="95">
        <f t="shared" si="10"/>
        <v>609.54839484000001</v>
      </c>
    </row>
    <row r="29" spans="1:38">
      <c r="A29" s="138"/>
      <c r="B29" s="3" t="s">
        <v>2</v>
      </c>
      <c r="C29" s="3">
        <v>2</v>
      </c>
      <c r="D29" s="4">
        <v>20840</v>
      </c>
      <c r="E29" s="4">
        <f t="shared" si="11"/>
        <v>6304.0999999999995</v>
      </c>
      <c r="F29" s="4">
        <f t="shared" si="4"/>
        <v>13238.609999999999</v>
      </c>
      <c r="G29" s="4">
        <f t="shared" si="7"/>
        <v>13.23861</v>
      </c>
      <c r="H29" s="4">
        <f t="shared" si="5"/>
        <v>9267.0269999999982</v>
      </c>
      <c r="I29" s="21">
        <f t="shared" si="8"/>
        <v>9.2670269999999988</v>
      </c>
      <c r="J29" s="25"/>
      <c r="K29" s="26"/>
      <c r="L29" s="26"/>
      <c r="M29" s="30"/>
      <c r="N29" s="25"/>
      <c r="O29" s="26"/>
      <c r="P29" s="26"/>
      <c r="Q29" s="39"/>
      <c r="R29" s="25"/>
      <c r="S29" s="26"/>
      <c r="T29" s="26"/>
      <c r="U29" s="39"/>
      <c r="V29" s="25"/>
      <c r="W29" s="26"/>
      <c r="X29" s="26"/>
      <c r="Y29" s="39"/>
      <c r="Z29" s="25"/>
      <c r="AA29" s="26"/>
      <c r="AB29" s="26"/>
      <c r="AC29" s="39"/>
      <c r="AD29" s="25"/>
      <c r="AE29" s="26"/>
      <c r="AF29" s="26"/>
      <c r="AG29" s="39"/>
      <c r="AH29" s="23"/>
      <c r="AI29" s="26"/>
      <c r="AJ29" s="24">
        <f t="shared" si="9"/>
        <v>0</v>
      </c>
      <c r="AK29" s="30"/>
      <c r="AL29" s="95"/>
    </row>
    <row r="30" spans="1:38">
      <c r="A30" s="138" t="s">
        <v>14</v>
      </c>
      <c r="B30" s="3" t="s">
        <v>1</v>
      </c>
      <c r="C30" s="3">
        <v>29</v>
      </c>
      <c r="D30" s="4">
        <v>155629</v>
      </c>
      <c r="E30" s="4">
        <f t="shared" si="11"/>
        <v>47077.772499999999</v>
      </c>
      <c r="F30" s="4">
        <f t="shared" si="4"/>
        <v>98863.322249999997</v>
      </c>
      <c r="G30" s="4">
        <f t="shared" si="7"/>
        <v>98.863322249999996</v>
      </c>
      <c r="H30" s="4">
        <f t="shared" si="5"/>
        <v>69204.325574999995</v>
      </c>
      <c r="I30" s="21">
        <f t="shared" si="8"/>
        <v>69.204325574999999</v>
      </c>
      <c r="J30" s="25"/>
      <c r="K30" s="26"/>
      <c r="L30" s="26"/>
      <c r="M30" s="30"/>
      <c r="N30" s="25"/>
      <c r="O30" s="26"/>
      <c r="P30" s="26"/>
      <c r="Q30" s="39"/>
      <c r="R30" s="25"/>
      <c r="S30" s="26"/>
      <c r="T30" s="26"/>
      <c r="U30" s="39"/>
      <c r="V30" s="25"/>
      <c r="W30" s="26"/>
      <c r="X30" s="26"/>
      <c r="Y30" s="39"/>
      <c r="Z30" s="25"/>
      <c r="AA30" s="26"/>
      <c r="AB30" s="26"/>
      <c r="AC30" s="39"/>
      <c r="AD30" s="25"/>
      <c r="AE30" s="26"/>
      <c r="AF30" s="26"/>
      <c r="AG30" s="39"/>
      <c r="AH30" s="23"/>
      <c r="AI30" s="26"/>
      <c r="AJ30" s="24">
        <f t="shared" si="9"/>
        <v>0</v>
      </c>
      <c r="AK30" s="30"/>
      <c r="AL30" s="95">
        <f t="shared" si="10"/>
        <v>69.204325574999999</v>
      </c>
    </row>
    <row r="31" spans="1:38">
      <c r="A31" s="138"/>
      <c r="B31" s="3" t="s">
        <v>2</v>
      </c>
      <c r="C31" s="3">
        <v>165</v>
      </c>
      <c r="D31" s="4">
        <v>1806880.9</v>
      </c>
      <c r="E31" s="4">
        <f t="shared" si="11"/>
        <v>546581.47224999999</v>
      </c>
      <c r="F31" s="4">
        <f t="shared" si="4"/>
        <v>1147821.0917249999</v>
      </c>
      <c r="G31" s="4">
        <f t="shared" si="7"/>
        <v>1147.8210917249999</v>
      </c>
      <c r="H31" s="4">
        <f t="shared" si="5"/>
        <v>803474.76420749992</v>
      </c>
      <c r="I31" s="21">
        <f t="shared" si="8"/>
        <v>803.4747642074999</v>
      </c>
      <c r="J31" s="25"/>
      <c r="K31" s="26"/>
      <c r="L31" s="26"/>
      <c r="M31" s="30"/>
      <c r="N31" s="25"/>
      <c r="O31" s="26"/>
      <c r="P31" s="26"/>
      <c r="Q31" s="39"/>
      <c r="R31" s="25"/>
      <c r="S31" s="26"/>
      <c r="T31" s="26"/>
      <c r="U31" s="39"/>
      <c r="V31" s="25"/>
      <c r="W31" s="26"/>
      <c r="X31" s="26"/>
      <c r="Y31" s="39"/>
      <c r="Z31" s="25"/>
      <c r="AA31" s="26"/>
      <c r="AB31" s="26"/>
      <c r="AC31" s="39"/>
      <c r="AD31" s="25"/>
      <c r="AE31" s="26"/>
      <c r="AF31" s="26"/>
      <c r="AG31" s="39"/>
      <c r="AH31" s="23"/>
      <c r="AI31" s="26"/>
      <c r="AJ31" s="24">
        <f t="shared" si="9"/>
        <v>0</v>
      </c>
      <c r="AK31" s="30"/>
      <c r="AL31" s="95"/>
    </row>
    <row r="32" spans="1:38">
      <c r="A32" s="61" t="s">
        <v>15</v>
      </c>
      <c r="B32" s="3" t="s">
        <v>1</v>
      </c>
      <c r="C32" s="3">
        <v>14</v>
      </c>
      <c r="D32" s="4">
        <v>104675</v>
      </c>
      <c r="E32" s="4">
        <f t="shared" si="11"/>
        <v>31664.1875</v>
      </c>
      <c r="F32" s="4">
        <f t="shared" si="4"/>
        <v>66494.793749999997</v>
      </c>
      <c r="G32" s="4">
        <f t="shared" si="7"/>
        <v>66.494793749999999</v>
      </c>
      <c r="H32" s="4">
        <f t="shared" si="5"/>
        <v>46546.355624999997</v>
      </c>
      <c r="I32" s="21">
        <f t="shared" si="8"/>
        <v>46.546355624999997</v>
      </c>
      <c r="J32" s="25"/>
      <c r="K32" s="26"/>
      <c r="L32" s="26">
        <v>50</v>
      </c>
      <c r="M32" s="30"/>
      <c r="N32" s="25"/>
      <c r="O32" s="26"/>
      <c r="P32" s="26"/>
      <c r="Q32" s="39"/>
      <c r="R32" s="25"/>
      <c r="S32" s="26"/>
      <c r="T32" s="26"/>
      <c r="U32" s="39"/>
      <c r="V32" s="25"/>
      <c r="W32" s="26"/>
      <c r="X32" s="26"/>
      <c r="Y32" s="39"/>
      <c r="Z32" s="25"/>
      <c r="AA32" s="26"/>
      <c r="AB32" s="26"/>
      <c r="AC32" s="39"/>
      <c r="AD32" s="25"/>
      <c r="AE32" s="26"/>
      <c r="AF32" s="26"/>
      <c r="AG32" s="39"/>
      <c r="AH32" s="23"/>
      <c r="AI32" s="26"/>
      <c r="AJ32" s="24">
        <f t="shared" si="9"/>
        <v>50</v>
      </c>
      <c r="AK32" s="30"/>
      <c r="AL32" s="95">
        <f t="shared" si="10"/>
        <v>-3.4536443750000032</v>
      </c>
    </row>
    <row r="33" spans="1:38">
      <c r="A33" s="138" t="s">
        <v>16</v>
      </c>
      <c r="B33" s="3" t="s">
        <v>1</v>
      </c>
      <c r="C33" s="3">
        <v>114</v>
      </c>
      <c r="D33" s="4">
        <v>865759.6</v>
      </c>
      <c r="E33" s="4">
        <f t="shared" si="11"/>
        <v>261892.27899999998</v>
      </c>
      <c r="F33" s="4">
        <f t="shared" si="4"/>
        <v>549973.78590000002</v>
      </c>
      <c r="G33" s="4">
        <f t="shared" si="7"/>
        <v>549.97378590000005</v>
      </c>
      <c r="H33" s="4">
        <f t="shared" si="5"/>
        <v>384981.65012999997</v>
      </c>
      <c r="I33" s="21">
        <f t="shared" si="8"/>
        <v>384.98165012999999</v>
      </c>
      <c r="J33" s="25"/>
      <c r="K33" s="26"/>
      <c r="L33" s="26"/>
      <c r="M33" s="30"/>
      <c r="N33" s="25"/>
      <c r="O33" s="26"/>
      <c r="P33" s="26"/>
      <c r="Q33" s="39"/>
      <c r="R33" s="25"/>
      <c r="S33" s="26"/>
      <c r="T33" s="26"/>
      <c r="U33" s="39"/>
      <c r="V33" s="25"/>
      <c r="W33" s="26"/>
      <c r="X33" s="26"/>
      <c r="Y33" s="39"/>
      <c r="Z33" s="25"/>
      <c r="AA33" s="26"/>
      <c r="AB33" s="26"/>
      <c r="AC33" s="39"/>
      <c r="AD33" s="25"/>
      <c r="AE33" s="26"/>
      <c r="AF33" s="26"/>
      <c r="AG33" s="39"/>
      <c r="AH33" s="23"/>
      <c r="AI33" s="26"/>
      <c r="AJ33" s="24">
        <f t="shared" si="9"/>
        <v>0</v>
      </c>
      <c r="AK33" s="30"/>
      <c r="AL33" s="95">
        <f t="shared" si="10"/>
        <v>384.98165012999999</v>
      </c>
    </row>
    <row r="34" spans="1:38">
      <c r="A34" s="138"/>
      <c r="B34" s="3" t="s">
        <v>2</v>
      </c>
      <c r="C34" s="3">
        <v>11</v>
      </c>
      <c r="D34" s="4">
        <v>87188.3</v>
      </c>
      <c r="E34" s="4">
        <f t="shared" si="11"/>
        <v>26374.460749999998</v>
      </c>
      <c r="F34" s="4">
        <f t="shared" si="4"/>
        <v>55386.367574999997</v>
      </c>
      <c r="G34" s="4">
        <f t="shared" si="7"/>
        <v>55.386367574999994</v>
      </c>
      <c r="H34" s="4">
        <f t="shared" si="5"/>
        <v>38770.457302499992</v>
      </c>
      <c r="I34" s="21">
        <f t="shared" si="8"/>
        <v>38.770457302499992</v>
      </c>
      <c r="J34" s="25"/>
      <c r="K34" s="26"/>
      <c r="L34" s="26"/>
      <c r="M34" s="30"/>
      <c r="N34" s="25"/>
      <c r="O34" s="26"/>
      <c r="P34" s="26"/>
      <c r="Q34" s="39"/>
      <c r="R34" s="25"/>
      <c r="S34" s="26"/>
      <c r="T34" s="26"/>
      <c r="U34" s="39"/>
      <c r="V34" s="25"/>
      <c r="W34" s="26"/>
      <c r="X34" s="26"/>
      <c r="Y34" s="39"/>
      <c r="Z34" s="25"/>
      <c r="AA34" s="26"/>
      <c r="AB34" s="26"/>
      <c r="AC34" s="39"/>
      <c r="AD34" s="25"/>
      <c r="AE34" s="26"/>
      <c r="AF34" s="26"/>
      <c r="AG34" s="39"/>
      <c r="AH34" s="23"/>
      <c r="AI34" s="26"/>
      <c r="AJ34" s="24">
        <f t="shared" si="9"/>
        <v>0</v>
      </c>
      <c r="AK34" s="30"/>
      <c r="AL34" s="95"/>
    </row>
    <row r="35" spans="1:38">
      <c r="A35" s="138" t="s">
        <v>17</v>
      </c>
      <c r="B35" s="3" t="s">
        <v>1</v>
      </c>
      <c r="C35" s="3">
        <v>131</v>
      </c>
      <c r="D35" s="4">
        <v>2321543</v>
      </c>
      <c r="E35" s="4">
        <f t="shared" si="11"/>
        <v>702266.75749999995</v>
      </c>
      <c r="F35" s="4">
        <f t="shared" si="4"/>
        <v>1474760.1907500001</v>
      </c>
      <c r="G35" s="4">
        <f t="shared" si="7"/>
        <v>1474.76019075</v>
      </c>
      <c r="H35" s="4">
        <f t="shared" si="5"/>
        <v>1032332.133525</v>
      </c>
      <c r="I35" s="21">
        <f t="shared" si="8"/>
        <v>1032.332133525</v>
      </c>
      <c r="J35" s="25"/>
      <c r="K35" s="26"/>
      <c r="L35" s="26"/>
      <c r="M35" s="30"/>
      <c r="N35" s="25"/>
      <c r="O35" s="26"/>
      <c r="P35" s="26"/>
      <c r="Q35" s="39"/>
      <c r="R35" s="25"/>
      <c r="S35" s="26"/>
      <c r="T35" s="26"/>
      <c r="U35" s="39"/>
      <c r="V35" s="25"/>
      <c r="W35" s="26"/>
      <c r="X35" s="26"/>
      <c r="Y35" s="39"/>
      <c r="Z35" s="25"/>
      <c r="AA35" s="26"/>
      <c r="AB35" s="26">
        <v>764</v>
      </c>
      <c r="AC35" s="39"/>
      <c r="AD35" s="25"/>
      <c r="AE35" s="26"/>
      <c r="AF35" s="26"/>
      <c r="AG35" s="39"/>
      <c r="AH35" s="23"/>
      <c r="AI35" s="26"/>
      <c r="AJ35" s="24">
        <f t="shared" si="9"/>
        <v>764</v>
      </c>
      <c r="AK35" s="30"/>
      <c r="AL35" s="95">
        <f t="shared" si="10"/>
        <v>268.33213352500002</v>
      </c>
    </row>
    <row r="36" spans="1:38">
      <c r="A36" s="138"/>
      <c r="B36" s="3" t="s">
        <v>2</v>
      </c>
      <c r="C36" s="3">
        <v>26</v>
      </c>
      <c r="D36" s="4">
        <v>496977</v>
      </c>
      <c r="E36" s="4">
        <f t="shared" si="11"/>
        <v>150335.54249999998</v>
      </c>
      <c r="F36" s="4">
        <f t="shared" si="4"/>
        <v>315704.63924999995</v>
      </c>
      <c r="G36" s="4">
        <f t="shared" si="7"/>
        <v>315.70463924999996</v>
      </c>
      <c r="H36" s="4">
        <f t="shared" si="5"/>
        <v>220993.24747499995</v>
      </c>
      <c r="I36" s="21">
        <f t="shared" si="8"/>
        <v>220.99324747499995</v>
      </c>
      <c r="J36" s="25"/>
      <c r="K36" s="26"/>
      <c r="L36" s="26"/>
      <c r="M36" s="30"/>
      <c r="N36" s="25"/>
      <c r="O36" s="26"/>
      <c r="P36" s="26"/>
      <c r="Q36" s="39"/>
      <c r="R36" s="25"/>
      <c r="S36" s="26"/>
      <c r="T36" s="26"/>
      <c r="U36" s="39"/>
      <c r="V36" s="25"/>
      <c r="W36" s="26"/>
      <c r="X36" s="26"/>
      <c r="Y36" s="39"/>
      <c r="Z36" s="25"/>
      <c r="AA36" s="26"/>
      <c r="AB36" s="26"/>
      <c r="AC36" s="39"/>
      <c r="AD36" s="25"/>
      <c r="AE36" s="26"/>
      <c r="AF36" s="26"/>
      <c r="AG36" s="39"/>
      <c r="AH36" s="23"/>
      <c r="AI36" s="26"/>
      <c r="AJ36" s="24">
        <f t="shared" si="9"/>
        <v>0</v>
      </c>
      <c r="AK36" s="30"/>
      <c r="AL36" s="95"/>
    </row>
    <row r="37" spans="1:38">
      <c r="A37" s="138" t="s">
        <v>18</v>
      </c>
      <c r="B37" s="3" t="s">
        <v>1</v>
      </c>
      <c r="C37" s="3">
        <v>14</v>
      </c>
      <c r="D37" s="4">
        <v>300215.90000000002</v>
      </c>
      <c r="E37" s="4">
        <f t="shared" si="11"/>
        <v>90815.30975</v>
      </c>
      <c r="F37" s="4">
        <f t="shared" si="4"/>
        <v>190712.150475</v>
      </c>
      <c r="G37" s="4">
        <f t="shared" si="7"/>
        <v>190.71215047500002</v>
      </c>
      <c r="H37" s="4">
        <f t="shared" si="5"/>
        <v>133498.5053325</v>
      </c>
      <c r="I37" s="21">
        <f t="shared" si="8"/>
        <v>133.4985053325</v>
      </c>
      <c r="J37" s="25"/>
      <c r="K37" s="26"/>
      <c r="L37" s="26"/>
      <c r="M37" s="30"/>
      <c r="N37" s="25"/>
      <c r="O37" s="26"/>
      <c r="P37" s="26"/>
      <c r="Q37" s="39"/>
      <c r="R37" s="25"/>
      <c r="S37" s="26"/>
      <c r="T37" s="26"/>
      <c r="U37" s="39"/>
      <c r="V37" s="25"/>
      <c r="W37" s="26"/>
      <c r="X37" s="26"/>
      <c r="Y37" s="39"/>
      <c r="Z37" s="25"/>
      <c r="AA37" s="26"/>
      <c r="AB37" s="26"/>
      <c r="AC37" s="39"/>
      <c r="AD37" s="25"/>
      <c r="AE37" s="26"/>
      <c r="AF37" s="26"/>
      <c r="AG37" s="39"/>
      <c r="AH37" s="23"/>
      <c r="AI37" s="26"/>
      <c r="AJ37" s="24">
        <f t="shared" si="9"/>
        <v>0</v>
      </c>
      <c r="AK37" s="30"/>
      <c r="AL37" s="95">
        <f t="shared" si="10"/>
        <v>133.4985053325</v>
      </c>
    </row>
    <row r="38" spans="1:38">
      <c r="A38" s="138"/>
      <c r="B38" s="3" t="s">
        <v>2</v>
      </c>
      <c r="C38" s="3">
        <v>8</v>
      </c>
      <c r="D38" s="4">
        <v>293938.40000000002</v>
      </c>
      <c r="E38" s="4">
        <f t="shared" si="11"/>
        <v>88916.366000000009</v>
      </c>
      <c r="F38" s="4">
        <f t="shared" si="4"/>
        <v>186724.36860000002</v>
      </c>
      <c r="G38" s="4">
        <f t="shared" si="7"/>
        <v>186.72436860000002</v>
      </c>
      <c r="H38" s="4">
        <f t="shared" si="5"/>
        <v>130707.05802</v>
      </c>
      <c r="I38" s="21">
        <f t="shared" si="8"/>
        <v>130.70705802000001</v>
      </c>
      <c r="J38" s="25"/>
      <c r="K38" s="26"/>
      <c r="L38" s="26"/>
      <c r="M38" s="30"/>
      <c r="N38" s="25"/>
      <c r="O38" s="26"/>
      <c r="P38" s="26"/>
      <c r="Q38" s="39"/>
      <c r="R38" s="25"/>
      <c r="S38" s="26"/>
      <c r="T38" s="26"/>
      <c r="U38" s="39"/>
      <c r="V38" s="25"/>
      <c r="W38" s="26"/>
      <c r="X38" s="26"/>
      <c r="Y38" s="39"/>
      <c r="Z38" s="25"/>
      <c r="AA38" s="26"/>
      <c r="AB38" s="26"/>
      <c r="AC38" s="39"/>
      <c r="AD38" s="25"/>
      <c r="AE38" s="26"/>
      <c r="AF38" s="26"/>
      <c r="AG38" s="39"/>
      <c r="AH38" s="23"/>
      <c r="AI38" s="26"/>
      <c r="AJ38" s="24">
        <f t="shared" si="9"/>
        <v>0</v>
      </c>
      <c r="AK38" s="30"/>
      <c r="AL38" s="95"/>
    </row>
    <row r="39" spans="1:38">
      <c r="A39" s="138" t="s">
        <v>19</v>
      </c>
      <c r="B39" s="3" t="s">
        <v>1</v>
      </c>
      <c r="C39" s="3">
        <v>8</v>
      </c>
      <c r="D39" s="4">
        <v>74418</v>
      </c>
      <c r="E39" s="4">
        <f t="shared" si="11"/>
        <v>22511.445</v>
      </c>
      <c r="F39" s="4">
        <f t="shared" si="4"/>
        <v>47274.034500000002</v>
      </c>
      <c r="G39" s="4">
        <f t="shared" si="7"/>
        <v>47.274034499999999</v>
      </c>
      <c r="H39" s="4">
        <f t="shared" si="5"/>
        <v>33091.82415</v>
      </c>
      <c r="I39" s="21">
        <f t="shared" si="8"/>
        <v>33.091824150000001</v>
      </c>
      <c r="J39" s="25"/>
      <c r="K39" s="26"/>
      <c r="L39" s="26"/>
      <c r="M39" s="30"/>
      <c r="N39" s="25"/>
      <c r="O39" s="26"/>
      <c r="P39" s="26"/>
      <c r="Q39" s="39"/>
      <c r="R39" s="25"/>
      <c r="S39" s="26"/>
      <c r="T39" s="26"/>
      <c r="U39" s="39"/>
      <c r="V39" s="25"/>
      <c r="W39" s="26"/>
      <c r="X39" s="26"/>
      <c r="Y39" s="39"/>
      <c r="Z39" s="25"/>
      <c r="AA39" s="26"/>
      <c r="AB39" s="26"/>
      <c r="AC39" s="39"/>
      <c r="AD39" s="25"/>
      <c r="AE39" s="26"/>
      <c r="AF39" s="26"/>
      <c r="AG39" s="39"/>
      <c r="AH39" s="23"/>
      <c r="AI39" s="26"/>
      <c r="AJ39" s="24">
        <f t="shared" si="9"/>
        <v>0</v>
      </c>
      <c r="AK39" s="30"/>
      <c r="AL39" s="95">
        <f t="shared" si="10"/>
        <v>33.091824150000001</v>
      </c>
    </row>
    <row r="40" spans="1:38">
      <c r="A40" s="138"/>
      <c r="B40" s="3" t="s">
        <v>2</v>
      </c>
      <c r="C40" s="3">
        <v>5</v>
      </c>
      <c r="D40" s="4">
        <v>75817</v>
      </c>
      <c r="E40" s="4">
        <f t="shared" si="11"/>
        <v>22934.642499999998</v>
      </c>
      <c r="F40" s="4">
        <f t="shared" si="4"/>
        <v>48162.749250000001</v>
      </c>
      <c r="G40" s="4">
        <f t="shared" si="7"/>
        <v>48.162749249999997</v>
      </c>
      <c r="H40" s="4">
        <f t="shared" si="5"/>
        <v>33713.924475</v>
      </c>
      <c r="I40" s="21">
        <f t="shared" si="8"/>
        <v>33.713924474999999</v>
      </c>
      <c r="J40" s="25"/>
      <c r="K40" s="26"/>
      <c r="L40" s="26"/>
      <c r="M40" s="30"/>
      <c r="N40" s="25"/>
      <c r="O40" s="26"/>
      <c r="P40" s="26"/>
      <c r="Q40" s="39"/>
      <c r="R40" s="25"/>
      <c r="S40" s="26"/>
      <c r="T40" s="26"/>
      <c r="U40" s="39"/>
      <c r="V40" s="25"/>
      <c r="W40" s="26"/>
      <c r="X40" s="26"/>
      <c r="Y40" s="39"/>
      <c r="Z40" s="25"/>
      <c r="AA40" s="26"/>
      <c r="AB40" s="26"/>
      <c r="AC40" s="39"/>
      <c r="AD40" s="25"/>
      <c r="AE40" s="26"/>
      <c r="AF40" s="26"/>
      <c r="AG40" s="39"/>
      <c r="AH40" s="23"/>
      <c r="AI40" s="26"/>
      <c r="AJ40" s="24">
        <f t="shared" si="9"/>
        <v>0</v>
      </c>
      <c r="AK40" s="30"/>
      <c r="AL40" s="95"/>
    </row>
    <row r="41" spans="1:38">
      <c r="A41" s="138" t="s">
        <v>20</v>
      </c>
      <c r="B41" s="3" t="s">
        <v>1</v>
      </c>
      <c r="C41" s="3">
        <v>63</v>
      </c>
      <c r="D41" s="4">
        <v>817452</v>
      </c>
      <c r="E41" s="4">
        <f t="shared" si="11"/>
        <v>247279.22999999998</v>
      </c>
      <c r="F41" s="4">
        <f t="shared" si="4"/>
        <v>519286.38299999997</v>
      </c>
      <c r="G41" s="4">
        <f t="shared" si="7"/>
        <v>519.286383</v>
      </c>
      <c r="H41" s="4">
        <f t="shared" si="5"/>
        <v>363500.46809999994</v>
      </c>
      <c r="I41" s="21">
        <f t="shared" si="8"/>
        <v>363.50046809999992</v>
      </c>
      <c r="J41" s="25"/>
      <c r="K41" s="26"/>
      <c r="L41" s="26">
        <v>450</v>
      </c>
      <c r="M41" s="30"/>
      <c r="N41" s="25"/>
      <c r="O41" s="26"/>
      <c r="P41" s="26"/>
      <c r="Q41" s="39"/>
      <c r="R41" s="25"/>
      <c r="S41" s="26"/>
      <c r="T41" s="26"/>
      <c r="U41" s="39"/>
      <c r="V41" s="25"/>
      <c r="W41" s="26"/>
      <c r="X41" s="26"/>
      <c r="Y41" s="39"/>
      <c r="Z41" s="25"/>
      <c r="AA41" s="26"/>
      <c r="AB41" s="26"/>
      <c r="AC41" s="39"/>
      <c r="AD41" s="25"/>
      <c r="AE41" s="26"/>
      <c r="AF41" s="26"/>
      <c r="AG41" s="39"/>
      <c r="AH41" s="23"/>
      <c r="AI41" s="26"/>
      <c r="AJ41" s="24">
        <f t="shared" si="9"/>
        <v>450</v>
      </c>
      <c r="AK41" s="30"/>
      <c r="AL41" s="95">
        <f t="shared" si="10"/>
        <v>-86.499531900000079</v>
      </c>
    </row>
    <row r="42" spans="1:38" ht="13.5" thickBot="1">
      <c r="A42" s="139"/>
      <c r="B42" s="6" t="s">
        <v>2</v>
      </c>
      <c r="C42" s="6">
        <v>40</v>
      </c>
      <c r="D42" s="7">
        <v>803001</v>
      </c>
      <c r="E42" s="7">
        <f t="shared" si="11"/>
        <v>242907.80249999999</v>
      </c>
      <c r="F42" s="7">
        <f t="shared" si="4"/>
        <v>510106.38524999999</v>
      </c>
      <c r="G42" s="7">
        <f t="shared" si="7"/>
        <v>510.10638525000002</v>
      </c>
      <c r="H42" s="7">
        <f t="shared" si="5"/>
        <v>357074.469675</v>
      </c>
      <c r="I42" s="22">
        <f t="shared" si="8"/>
        <v>357.07446967499999</v>
      </c>
      <c r="J42" s="27"/>
      <c r="K42" s="28"/>
      <c r="L42" s="28"/>
      <c r="M42" s="31"/>
      <c r="N42" s="27"/>
      <c r="O42" s="28"/>
      <c r="P42" s="28"/>
      <c r="Q42" s="41"/>
      <c r="R42" s="27"/>
      <c r="S42" s="28"/>
      <c r="T42" s="28">
        <v>18</v>
      </c>
      <c r="U42" s="41"/>
      <c r="V42" s="27"/>
      <c r="W42" s="28"/>
      <c r="X42" s="28"/>
      <c r="Y42" s="41"/>
      <c r="Z42" s="27"/>
      <c r="AA42" s="28"/>
      <c r="AB42" s="28"/>
      <c r="AC42" s="41"/>
      <c r="AD42" s="27"/>
      <c r="AE42" s="28"/>
      <c r="AF42" s="28"/>
      <c r="AG42" s="41"/>
      <c r="AH42" s="76"/>
      <c r="AI42" s="28"/>
      <c r="AJ42" s="77">
        <f>SUM(AF42,AB42,X42,T42,P42,L42)</f>
        <v>18</v>
      </c>
      <c r="AK42" s="31"/>
      <c r="AL42" s="96"/>
    </row>
    <row r="43" spans="1:38">
      <c r="A43" s="1"/>
      <c r="B43" s="1"/>
      <c r="C43" s="1"/>
      <c r="D43" s="16"/>
      <c r="E43" s="16"/>
      <c r="F43" s="16"/>
      <c r="G43" s="16"/>
      <c r="H43" s="16"/>
      <c r="I43" s="16"/>
      <c r="J43" s="1"/>
      <c r="K43" s="1"/>
      <c r="L43" s="8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J43" s="80"/>
      <c r="AL43" s="91"/>
    </row>
    <row r="44" spans="1:38">
      <c r="A44" s="98"/>
    </row>
  </sheetData>
  <mergeCells count="27">
    <mergeCell ref="A41:A42"/>
    <mergeCell ref="AH6:AL7"/>
    <mergeCell ref="A17:A18"/>
    <mergeCell ref="A22:A23"/>
    <mergeCell ref="A24:A25"/>
    <mergeCell ref="A26:A27"/>
    <mergeCell ref="A28:A29"/>
    <mergeCell ref="A30:A31"/>
    <mergeCell ref="AD7:AG7"/>
    <mergeCell ref="A8:B8"/>
    <mergeCell ref="A9:B9"/>
    <mergeCell ref="A10:I10"/>
    <mergeCell ref="A11:A12"/>
    <mergeCell ref="A15:A16"/>
    <mergeCell ref="J6:AG6"/>
    <mergeCell ref="A7:B7"/>
    <mergeCell ref="A3:AL3"/>
    <mergeCell ref="A33:A34"/>
    <mergeCell ref="A35:A36"/>
    <mergeCell ref="A37:A38"/>
    <mergeCell ref="A39:A40"/>
    <mergeCell ref="A4:I4"/>
    <mergeCell ref="J7:M7"/>
    <mergeCell ref="N7:Q7"/>
    <mergeCell ref="R7:U7"/>
    <mergeCell ref="V7:Y7"/>
    <mergeCell ref="Z7:AC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topLeftCell="A3" zoomScale="110" zoomScaleNormal="110" workbookViewId="0">
      <selection activeCell="AL43" sqref="AL43"/>
    </sheetView>
  </sheetViews>
  <sheetFormatPr defaultRowHeight="12.75"/>
  <cols>
    <col min="1" max="2" width="9.140625" style="1"/>
    <col min="3" max="3" width="9.28515625" style="1" bestFit="1" customWidth="1"/>
    <col min="4" max="4" width="11.5703125" style="1" hidden="1" customWidth="1"/>
    <col min="5" max="5" width="11.140625" style="1" bestFit="1" customWidth="1"/>
    <col min="6" max="6" width="11.5703125" style="1" hidden="1" customWidth="1"/>
    <col min="7" max="7" width="9.42578125" style="1" bestFit="1" customWidth="1"/>
    <col min="8" max="8" width="11.5703125" style="1" hidden="1" customWidth="1"/>
    <col min="9" max="9" width="8.5703125" style="1" bestFit="1" customWidth="1"/>
    <col min="10" max="10" width="7.42578125" style="1" bestFit="1" customWidth="1"/>
    <col min="11" max="11" width="10.42578125" style="1" bestFit="1" customWidth="1"/>
    <col min="12" max="12" width="10.28515625" style="1" bestFit="1" customWidth="1"/>
    <col min="13" max="13" width="26.5703125" style="1" bestFit="1" customWidth="1"/>
    <col min="14" max="14" width="7.42578125" style="1" bestFit="1" customWidth="1"/>
    <col min="15" max="15" width="10.42578125" style="1" bestFit="1" customWidth="1"/>
    <col min="16" max="16" width="10.28515625" style="1" bestFit="1" customWidth="1"/>
    <col min="17" max="17" width="20.140625" style="1" bestFit="1" customWidth="1"/>
    <col min="18" max="18" width="7.42578125" style="1" bestFit="1" customWidth="1"/>
    <col min="19" max="19" width="9.5703125" style="1" bestFit="1" customWidth="1"/>
    <col min="20" max="20" width="10.28515625" style="1" bestFit="1" customWidth="1"/>
    <col min="21" max="21" width="13.85546875" style="1" bestFit="1" customWidth="1"/>
    <col min="22" max="22" width="7.42578125" style="1" bestFit="1" customWidth="1"/>
    <col min="23" max="23" width="8.5703125" style="1" bestFit="1" customWidth="1"/>
    <col min="24" max="24" width="10.28515625" style="1" bestFit="1" customWidth="1"/>
    <col min="25" max="25" width="14.7109375" style="1" bestFit="1" customWidth="1"/>
    <col min="26" max="26" width="7.42578125" style="1" bestFit="1" customWidth="1"/>
    <col min="27" max="27" width="8.5703125" style="1" bestFit="1" customWidth="1"/>
    <col min="28" max="28" width="10.28515625" style="1" bestFit="1" customWidth="1"/>
    <col min="29" max="29" width="5.7109375" style="1" bestFit="1" customWidth="1"/>
    <col min="30" max="30" width="7.42578125" style="1" bestFit="1" customWidth="1"/>
    <col min="31" max="31" width="9.5703125" bestFit="1" customWidth="1"/>
    <col min="32" max="32" width="10.28515625" bestFit="1" customWidth="1"/>
    <col min="33" max="33" width="13.5703125" bestFit="1" customWidth="1"/>
    <col min="34" max="34" width="7.42578125" bestFit="1" customWidth="1"/>
    <col min="35" max="35" width="9.5703125" bestFit="1" customWidth="1"/>
    <col min="36" max="36" width="10.85546875" customWidth="1"/>
    <col min="38" max="38" width="9.28515625" style="78" bestFit="1" customWidth="1"/>
  </cols>
  <sheetData>
    <row r="1" spans="1:38" hidden="1">
      <c r="A1" s="2" t="s">
        <v>33</v>
      </c>
      <c r="B1" s="2" t="s">
        <v>31</v>
      </c>
      <c r="C1" s="2" t="s">
        <v>32</v>
      </c>
    </row>
    <row r="2" spans="1:38" hidden="1">
      <c r="A2" s="1">
        <v>0.30249999999999999</v>
      </c>
      <c r="B2" s="1">
        <v>2.1</v>
      </c>
      <c r="C2" s="1">
        <v>0.7</v>
      </c>
    </row>
    <row r="3" spans="1:38" ht="21.75" customHeight="1">
      <c r="A3" s="149" t="s">
        <v>34</v>
      </c>
      <c r="B3" s="149"/>
      <c r="C3" s="149"/>
      <c r="D3" s="149"/>
      <c r="E3" s="149"/>
      <c r="F3" s="149"/>
      <c r="G3" s="149"/>
      <c r="H3" s="149"/>
      <c r="I3" s="149"/>
    </row>
    <row r="4" spans="1:38" ht="27" customHeight="1">
      <c r="A4" s="150" t="s">
        <v>37</v>
      </c>
      <c r="B4" s="151"/>
      <c r="C4" s="151"/>
      <c r="D4" s="151"/>
      <c r="E4" s="151"/>
      <c r="F4" s="151"/>
      <c r="G4" s="151"/>
      <c r="H4" s="151"/>
      <c r="I4" s="151"/>
    </row>
    <row r="5" spans="1:38" ht="13.5" thickBot="1"/>
    <row r="6" spans="1:38" ht="24.75" customHeight="1" thickBot="1">
      <c r="A6" s="10" t="s">
        <v>25</v>
      </c>
      <c r="B6" s="12" t="s">
        <v>26</v>
      </c>
      <c r="C6" s="12" t="s">
        <v>27</v>
      </c>
      <c r="D6" s="12" t="s">
        <v>35</v>
      </c>
      <c r="E6" s="13" t="s">
        <v>36</v>
      </c>
      <c r="F6" s="11" t="s">
        <v>21</v>
      </c>
      <c r="G6" s="11" t="s">
        <v>22</v>
      </c>
      <c r="H6" s="11" t="s">
        <v>23</v>
      </c>
      <c r="I6" s="17" t="s">
        <v>24</v>
      </c>
      <c r="J6" s="171" t="s">
        <v>39</v>
      </c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2"/>
      <c r="AH6" s="154" t="s">
        <v>55</v>
      </c>
      <c r="AI6" s="174"/>
      <c r="AJ6" s="174"/>
      <c r="AK6" s="175"/>
    </row>
    <row r="7" spans="1:38" ht="14.25" thickBot="1">
      <c r="A7" s="172" t="s">
        <v>28</v>
      </c>
      <c r="B7" s="173"/>
      <c r="C7" s="14">
        <f t="shared" ref="C7:I7" si="0">SUM(C11:C42)</f>
        <v>2774</v>
      </c>
      <c r="D7" s="14">
        <f t="shared" si="0"/>
        <v>25542263.149999999</v>
      </c>
      <c r="E7" s="14">
        <f t="shared" si="0"/>
        <v>7731654.4553750008</v>
      </c>
      <c r="F7" s="14">
        <f t="shared" si="0"/>
        <v>16236474.356287492</v>
      </c>
      <c r="G7" s="14">
        <f t="shared" si="0"/>
        <v>16238.674356287496</v>
      </c>
      <c r="H7" s="14">
        <f t="shared" si="0"/>
        <v>11365532.049401248</v>
      </c>
      <c r="I7" s="18">
        <f t="shared" si="0"/>
        <v>11367.072049401251</v>
      </c>
      <c r="J7" s="171" t="s">
        <v>45</v>
      </c>
      <c r="K7" s="161"/>
      <c r="L7" s="161"/>
      <c r="M7" s="162"/>
      <c r="N7" s="160" t="s">
        <v>43</v>
      </c>
      <c r="O7" s="161"/>
      <c r="P7" s="161"/>
      <c r="Q7" s="162"/>
      <c r="R7" s="160" t="s">
        <v>47</v>
      </c>
      <c r="S7" s="161"/>
      <c r="T7" s="161"/>
      <c r="U7" s="162"/>
      <c r="V7" s="160" t="s">
        <v>50</v>
      </c>
      <c r="W7" s="161"/>
      <c r="X7" s="161"/>
      <c r="Y7" s="162"/>
      <c r="Z7" s="160" t="s">
        <v>52</v>
      </c>
      <c r="AA7" s="161"/>
      <c r="AB7" s="161"/>
      <c r="AC7" s="162"/>
      <c r="AD7" s="160" t="s">
        <v>53</v>
      </c>
      <c r="AE7" s="161"/>
      <c r="AF7" s="161"/>
      <c r="AG7" s="162"/>
      <c r="AH7" s="176"/>
      <c r="AI7" s="177"/>
      <c r="AJ7" s="177"/>
      <c r="AK7" s="178"/>
    </row>
    <row r="8" spans="1:38" ht="33" customHeight="1" thickBot="1">
      <c r="A8" s="163" t="s">
        <v>29</v>
      </c>
      <c r="B8" s="164"/>
      <c r="C8" s="15">
        <f t="shared" ref="C8:I8" si="1">SUM(C11,C13,C14,C15,C17,C19,C20,C22,C24,C26,C28,C30,C32,C33,C35,C37,C39,C41)</f>
        <v>2051</v>
      </c>
      <c r="D8" s="15">
        <f t="shared" si="1"/>
        <v>17788811.949999999</v>
      </c>
      <c r="E8" s="15">
        <f t="shared" si="1"/>
        <v>5381115.614875</v>
      </c>
      <c r="F8" s="15">
        <f t="shared" si="1"/>
        <v>11300342.791237498</v>
      </c>
      <c r="G8" s="15">
        <f t="shared" si="1"/>
        <v>11300.342791237499</v>
      </c>
      <c r="H8" s="15">
        <f t="shared" si="1"/>
        <v>7910239.953866249</v>
      </c>
      <c r="I8" s="19">
        <f t="shared" si="1"/>
        <v>7910.2399538662503</v>
      </c>
      <c r="J8" s="34" t="s">
        <v>40</v>
      </c>
      <c r="K8" s="35" t="s">
        <v>38</v>
      </c>
      <c r="L8" s="36" t="s">
        <v>48</v>
      </c>
      <c r="M8" s="37" t="s">
        <v>41</v>
      </c>
      <c r="N8" s="34" t="s">
        <v>40</v>
      </c>
      <c r="O8" s="35" t="s">
        <v>38</v>
      </c>
      <c r="P8" s="36" t="s">
        <v>48</v>
      </c>
      <c r="Q8" s="37" t="s">
        <v>41</v>
      </c>
      <c r="R8" s="34" t="s">
        <v>40</v>
      </c>
      <c r="S8" s="35" t="s">
        <v>38</v>
      </c>
      <c r="T8" s="36" t="s">
        <v>48</v>
      </c>
      <c r="U8" s="37" t="s">
        <v>41</v>
      </c>
      <c r="V8" s="34" t="s">
        <v>40</v>
      </c>
      <c r="W8" s="35" t="s">
        <v>38</v>
      </c>
      <c r="X8" s="36" t="s">
        <v>48</v>
      </c>
      <c r="Y8" s="37" t="s">
        <v>41</v>
      </c>
      <c r="Z8" s="34" t="s">
        <v>40</v>
      </c>
      <c r="AA8" s="35" t="s">
        <v>38</v>
      </c>
      <c r="AB8" s="36" t="s">
        <v>48</v>
      </c>
      <c r="AC8" s="37" t="s">
        <v>41</v>
      </c>
      <c r="AD8" s="34" t="s">
        <v>40</v>
      </c>
      <c r="AE8" s="35" t="s">
        <v>38</v>
      </c>
      <c r="AF8" s="36" t="s">
        <v>48</v>
      </c>
      <c r="AG8" s="37" t="s">
        <v>41</v>
      </c>
      <c r="AH8" s="72" t="s">
        <v>40</v>
      </c>
      <c r="AI8" s="70" t="s">
        <v>38</v>
      </c>
      <c r="AJ8" s="36" t="s">
        <v>48</v>
      </c>
      <c r="AK8" s="37" t="s">
        <v>41</v>
      </c>
      <c r="AL8" s="79" t="s">
        <v>56</v>
      </c>
    </row>
    <row r="9" spans="1:38" ht="14.25" thickBot="1">
      <c r="A9" s="165" t="s">
        <v>30</v>
      </c>
      <c r="B9" s="166"/>
      <c r="C9" s="51">
        <f t="shared" ref="C9:I9" si="2">SUM(C12,C16,C18,C21,C23,C25,C27,C29,C31,C34,C36,C38,C40,C42)</f>
        <v>723</v>
      </c>
      <c r="D9" s="51">
        <f t="shared" si="2"/>
        <v>7753451.2000000002</v>
      </c>
      <c r="E9" s="51">
        <f t="shared" si="2"/>
        <v>2350538.8404999999</v>
      </c>
      <c r="F9" s="51">
        <f t="shared" si="2"/>
        <v>4936131.5650500003</v>
      </c>
      <c r="G9" s="51">
        <f t="shared" si="2"/>
        <v>4938.3315650499999</v>
      </c>
      <c r="H9" s="51">
        <f t="shared" si="2"/>
        <v>3455292.0955349994</v>
      </c>
      <c r="I9" s="52">
        <f t="shared" si="2"/>
        <v>3456.832095535</v>
      </c>
      <c r="J9" s="46">
        <v>123</v>
      </c>
      <c r="K9" s="47">
        <v>97640</v>
      </c>
      <c r="L9" s="48">
        <f>SUM(L11:L42)</f>
        <v>1750</v>
      </c>
      <c r="M9" s="49"/>
      <c r="N9" s="46">
        <v>96</v>
      </c>
      <c r="O9" s="47">
        <v>71218</v>
      </c>
      <c r="P9" s="48">
        <v>864</v>
      </c>
      <c r="Q9" s="50" t="s">
        <v>44</v>
      </c>
      <c r="R9" s="43">
        <v>152</v>
      </c>
      <c r="S9" s="44">
        <v>116870</v>
      </c>
      <c r="T9" s="44">
        <v>1439</v>
      </c>
      <c r="U9" s="53" t="s">
        <v>46</v>
      </c>
      <c r="V9" s="43">
        <v>56</v>
      </c>
      <c r="W9" s="44">
        <v>45600</v>
      </c>
      <c r="X9" s="44">
        <v>600</v>
      </c>
      <c r="Y9" s="53" t="s">
        <v>49</v>
      </c>
      <c r="Z9" s="43">
        <v>35</v>
      </c>
      <c r="AA9" s="44">
        <v>33638</v>
      </c>
      <c r="AB9" s="44">
        <v>764</v>
      </c>
      <c r="AC9" s="53"/>
      <c r="AD9" s="43">
        <v>18</v>
      </c>
      <c r="AE9" s="44">
        <v>11640</v>
      </c>
      <c r="AF9" s="44">
        <v>141</v>
      </c>
      <c r="AG9" s="53"/>
      <c r="AH9" s="71">
        <f>SUM(AD9,Z9,V9,R9,N9,J9)</f>
        <v>480</v>
      </c>
      <c r="AI9" s="44">
        <f>SUM(AE9,AA9,W9,T9,O9,K9)</f>
        <v>261175</v>
      </c>
      <c r="AJ9" s="44">
        <f>SUM(AF9,AB9,X9,T9,P9,L9)</f>
        <v>5558</v>
      </c>
      <c r="AK9" s="53"/>
    </row>
    <row r="10" spans="1:38" ht="14.25" thickBot="1">
      <c r="A10" s="167" t="s">
        <v>57</v>
      </c>
      <c r="B10" s="168"/>
      <c r="C10" s="168"/>
      <c r="D10" s="168"/>
      <c r="E10" s="168"/>
      <c r="F10" s="168"/>
      <c r="G10" s="168"/>
      <c r="H10" s="168"/>
      <c r="I10" s="169"/>
      <c r="J10" s="59"/>
      <c r="K10" s="56"/>
      <c r="L10" s="58">
        <f>SUM(L11:L42)</f>
        <v>1750</v>
      </c>
      <c r="M10" s="60"/>
      <c r="N10" s="59"/>
      <c r="O10" s="56"/>
      <c r="P10" s="58">
        <f>SUM(P11:P42)</f>
        <v>200</v>
      </c>
      <c r="Q10" s="54"/>
      <c r="R10" s="57"/>
      <c r="S10" s="57"/>
      <c r="T10" s="58">
        <f>SUM(T11:T42)</f>
        <v>48</v>
      </c>
      <c r="U10" s="55"/>
      <c r="V10" s="57"/>
      <c r="W10" s="57"/>
      <c r="X10" s="58">
        <v>0</v>
      </c>
      <c r="Y10" s="55" t="s">
        <v>51</v>
      </c>
      <c r="Z10" s="57"/>
      <c r="AA10" s="57"/>
      <c r="AB10" s="58">
        <f>SUM(AB11:AB42)</f>
        <v>764</v>
      </c>
      <c r="AC10" s="55"/>
      <c r="AD10" s="57"/>
      <c r="AE10" s="57"/>
      <c r="AF10" s="58">
        <f>SUM(AF11:AF42)</f>
        <v>141.19999999999999</v>
      </c>
      <c r="AG10" s="55"/>
      <c r="AH10" s="57"/>
      <c r="AI10" s="57"/>
      <c r="AJ10" s="58">
        <f>SUM(AJ11:AJ42)</f>
        <v>2903.2</v>
      </c>
      <c r="AK10" s="55"/>
    </row>
    <row r="11" spans="1:38">
      <c r="A11" s="170" t="s">
        <v>0</v>
      </c>
      <c r="B11" s="8" t="s">
        <v>1</v>
      </c>
      <c r="C11" s="8">
        <v>260</v>
      </c>
      <c r="D11" s="9">
        <v>1835316.32</v>
      </c>
      <c r="E11" s="9">
        <f>D11*$A$2</f>
        <v>555183.18680000002</v>
      </c>
      <c r="F11" s="9">
        <f>E11*$B$2</f>
        <v>1165884.6922800001</v>
      </c>
      <c r="G11" s="9">
        <f>F11/1000</f>
        <v>1165.8846922800001</v>
      </c>
      <c r="H11" s="9">
        <f>F11*$C$2</f>
        <v>816119.28459599998</v>
      </c>
      <c r="I11" s="20">
        <f>H11/1000</f>
        <v>816.11928459599994</v>
      </c>
      <c r="J11" s="23"/>
      <c r="K11" s="24"/>
      <c r="L11" s="24">
        <v>500</v>
      </c>
      <c r="M11" s="29"/>
      <c r="N11" s="23"/>
      <c r="O11" s="24"/>
      <c r="P11" s="24"/>
      <c r="Q11" s="38"/>
      <c r="R11" s="23"/>
      <c r="S11" s="24"/>
      <c r="T11" s="24"/>
      <c r="U11" s="38"/>
      <c r="V11" s="23"/>
      <c r="W11" s="24"/>
      <c r="X11" s="24"/>
      <c r="Y11" s="38"/>
      <c r="Z11" s="23"/>
      <c r="AA11" s="24"/>
      <c r="AB11" s="24"/>
      <c r="AC11" s="38"/>
      <c r="AD11" s="23"/>
      <c r="AE11" s="24"/>
      <c r="AF11" s="24"/>
      <c r="AG11" s="38"/>
      <c r="AH11" s="73"/>
      <c r="AI11" s="74"/>
      <c r="AJ11" s="74">
        <f>SUM(AF11,AB11,X11,T11,P11,L11)</f>
        <v>500</v>
      </c>
      <c r="AK11" s="75">
        <f t="shared" ref="AK11" si="3">SUM(AK9:AK10)</f>
        <v>0</v>
      </c>
      <c r="AL11" s="79">
        <f>I11-AJ11</f>
        <v>316.11928459599994</v>
      </c>
    </row>
    <row r="12" spans="1:38">
      <c r="A12" s="138"/>
      <c r="B12" s="3" t="s">
        <v>2</v>
      </c>
      <c r="C12" s="3">
        <v>3</v>
      </c>
      <c r="D12" s="4">
        <v>27368</v>
      </c>
      <c r="E12" s="4">
        <f t="shared" ref="E12:E42" si="4">D12*$A$2</f>
        <v>8278.82</v>
      </c>
      <c r="F12" s="4">
        <f t="shared" ref="F12:F42" si="5">E12*$B$2</f>
        <v>17385.522000000001</v>
      </c>
      <c r="G12" s="4">
        <f t="shared" ref="G12:G42" si="6">F12/1000</f>
        <v>17.385522000000002</v>
      </c>
      <c r="H12" s="4">
        <f t="shared" ref="H12:H42" si="7">F12*$C$2</f>
        <v>12169.865400000001</v>
      </c>
      <c r="I12" s="21">
        <f t="shared" ref="I12:I42" si="8">H12/1000</f>
        <v>12.169865400000001</v>
      </c>
      <c r="J12" s="25"/>
      <c r="K12" s="26"/>
      <c r="L12" s="26"/>
      <c r="M12" s="30"/>
      <c r="N12" s="25"/>
      <c r="O12" s="26"/>
      <c r="P12" s="26"/>
      <c r="Q12" s="39"/>
      <c r="R12" s="25"/>
      <c r="S12" s="26"/>
      <c r="T12" s="26"/>
      <c r="U12" s="39"/>
      <c r="V12" s="25"/>
      <c r="W12" s="26"/>
      <c r="X12" s="26"/>
      <c r="Y12" s="39"/>
      <c r="Z12" s="25"/>
      <c r="AA12" s="26"/>
      <c r="AB12" s="26"/>
      <c r="AC12" s="39"/>
      <c r="AD12" s="25"/>
      <c r="AE12" s="26"/>
      <c r="AF12" s="26"/>
      <c r="AG12" s="39"/>
      <c r="AH12" s="23"/>
      <c r="AI12" s="26"/>
      <c r="AJ12" s="24">
        <f t="shared" ref="AJ12:AJ41" si="9">SUM(AF12,AB12,X12,T12,P12,L12)</f>
        <v>0</v>
      </c>
      <c r="AK12" s="39"/>
      <c r="AL12" s="79">
        <f t="shared" ref="AL12:AL42" si="10">I12-AJ12</f>
        <v>12.169865400000001</v>
      </c>
    </row>
    <row r="13" spans="1:38">
      <c r="A13" s="5" t="s">
        <v>3</v>
      </c>
      <c r="B13" s="3" t="s">
        <v>1</v>
      </c>
      <c r="C13" s="3">
        <v>20</v>
      </c>
      <c r="D13" s="4">
        <v>149057</v>
      </c>
      <c r="E13" s="4">
        <f t="shared" si="4"/>
        <v>45089.7425</v>
      </c>
      <c r="F13" s="4">
        <f t="shared" si="5"/>
        <v>94688.45925</v>
      </c>
      <c r="G13" s="4">
        <f t="shared" si="6"/>
        <v>94.688459249999994</v>
      </c>
      <c r="H13" s="4">
        <f t="shared" si="7"/>
        <v>66281.921474999996</v>
      </c>
      <c r="I13" s="21">
        <f t="shared" si="8"/>
        <v>66.28192147499999</v>
      </c>
      <c r="J13" s="25"/>
      <c r="K13" s="26"/>
      <c r="L13" s="26"/>
      <c r="M13" s="30"/>
      <c r="N13" s="25"/>
      <c r="O13" s="26"/>
      <c r="P13" s="26"/>
      <c r="Q13" s="39"/>
      <c r="R13" s="25"/>
      <c r="S13" s="26"/>
      <c r="T13" s="26"/>
      <c r="U13" s="39"/>
      <c r="V13" s="25"/>
      <c r="W13" s="26"/>
      <c r="X13" s="26"/>
      <c r="Y13" s="39"/>
      <c r="Z13" s="25"/>
      <c r="AA13" s="26"/>
      <c r="AB13" s="26"/>
      <c r="AC13" s="39"/>
      <c r="AD13" s="25"/>
      <c r="AE13" s="26"/>
      <c r="AF13" s="26"/>
      <c r="AG13" s="39"/>
      <c r="AH13" s="23"/>
      <c r="AI13" s="26"/>
      <c r="AJ13" s="24">
        <f t="shared" si="9"/>
        <v>0</v>
      </c>
      <c r="AK13" s="39"/>
      <c r="AL13" s="79">
        <f t="shared" si="10"/>
        <v>66.28192147499999</v>
      </c>
    </row>
    <row r="14" spans="1:38">
      <c r="A14" s="5" t="s">
        <v>4</v>
      </c>
      <c r="B14" s="3" t="s">
        <v>1</v>
      </c>
      <c r="C14" s="3">
        <v>171</v>
      </c>
      <c r="D14" s="4">
        <v>1255059</v>
      </c>
      <c r="E14" s="4">
        <f t="shared" si="4"/>
        <v>379655.34749999997</v>
      </c>
      <c r="F14" s="4">
        <f t="shared" si="5"/>
        <v>797276.22974999994</v>
      </c>
      <c r="G14" s="4">
        <f t="shared" si="6"/>
        <v>797.27622974999997</v>
      </c>
      <c r="H14" s="4">
        <f t="shared" si="7"/>
        <v>558093.36082499987</v>
      </c>
      <c r="I14" s="21">
        <f t="shared" si="8"/>
        <v>558.09336082499988</v>
      </c>
      <c r="J14" s="25"/>
      <c r="K14" s="26"/>
      <c r="L14" s="26"/>
      <c r="M14" s="30"/>
      <c r="N14" s="25"/>
      <c r="O14" s="26"/>
      <c r="P14" s="26"/>
      <c r="Q14" s="39"/>
      <c r="R14" s="25"/>
      <c r="S14" s="26"/>
      <c r="T14" s="26"/>
      <c r="U14" s="39"/>
      <c r="V14" s="25"/>
      <c r="W14" s="26"/>
      <c r="X14" s="26"/>
      <c r="Y14" s="39"/>
      <c r="Z14" s="25"/>
      <c r="AA14" s="26"/>
      <c r="AB14" s="26"/>
      <c r="AC14" s="39"/>
      <c r="AD14" s="25"/>
      <c r="AE14" s="26"/>
      <c r="AF14" s="26"/>
      <c r="AG14" s="39"/>
      <c r="AH14" s="23"/>
      <c r="AI14" s="26"/>
      <c r="AJ14" s="24">
        <f t="shared" si="9"/>
        <v>0</v>
      </c>
      <c r="AK14" s="39"/>
      <c r="AL14" s="79">
        <f t="shared" si="10"/>
        <v>558.09336082499988</v>
      </c>
    </row>
    <row r="15" spans="1:38">
      <c r="A15" s="138" t="s">
        <v>5</v>
      </c>
      <c r="B15" s="3" t="s">
        <v>1</v>
      </c>
      <c r="C15" s="3">
        <v>45</v>
      </c>
      <c r="D15" s="4">
        <v>1033092</v>
      </c>
      <c r="E15" s="4">
        <f t="shared" si="4"/>
        <v>312510.33</v>
      </c>
      <c r="F15" s="4">
        <f t="shared" si="5"/>
        <v>656271.69300000009</v>
      </c>
      <c r="G15" s="4">
        <f t="shared" si="6"/>
        <v>656.27169300000014</v>
      </c>
      <c r="H15" s="4">
        <f t="shared" si="7"/>
        <v>459390.1851</v>
      </c>
      <c r="I15" s="21">
        <f t="shared" si="8"/>
        <v>459.3901851</v>
      </c>
      <c r="J15" s="25"/>
      <c r="K15" s="26"/>
      <c r="L15" s="26"/>
      <c r="M15" s="30"/>
      <c r="N15" s="25"/>
      <c r="O15" s="26"/>
      <c r="P15" s="26"/>
      <c r="Q15" s="39"/>
      <c r="R15" s="25"/>
      <c r="S15" s="26"/>
      <c r="T15" s="26"/>
      <c r="U15" s="39"/>
      <c r="V15" s="25"/>
      <c r="W15" s="26"/>
      <c r="X15" s="26"/>
      <c r="Y15" s="39"/>
      <c r="Z15" s="25"/>
      <c r="AA15" s="26"/>
      <c r="AB15" s="26"/>
      <c r="AC15" s="39"/>
      <c r="AD15" s="25"/>
      <c r="AE15" s="26"/>
      <c r="AF15" s="26"/>
      <c r="AG15" s="39"/>
      <c r="AH15" s="23"/>
      <c r="AI15" s="26"/>
      <c r="AJ15" s="24">
        <f t="shared" si="9"/>
        <v>0</v>
      </c>
      <c r="AK15" s="39"/>
      <c r="AL15" s="79">
        <f t="shared" si="10"/>
        <v>459.3901851</v>
      </c>
    </row>
    <row r="16" spans="1:38">
      <c r="A16" s="138"/>
      <c r="B16" s="3" t="s">
        <v>2</v>
      </c>
      <c r="C16" s="3">
        <v>6</v>
      </c>
      <c r="D16" s="4">
        <v>79132</v>
      </c>
      <c r="E16" s="4">
        <f t="shared" si="4"/>
        <v>23937.43</v>
      </c>
      <c r="F16" s="4">
        <f t="shared" si="5"/>
        <v>50268.603000000003</v>
      </c>
      <c r="G16" s="4">
        <f t="shared" si="6"/>
        <v>50.268603000000006</v>
      </c>
      <c r="H16" s="4">
        <f t="shared" si="7"/>
        <v>35188.022100000002</v>
      </c>
      <c r="I16" s="21">
        <f t="shared" si="8"/>
        <v>35.188022100000005</v>
      </c>
      <c r="J16" s="25"/>
      <c r="K16" s="26"/>
      <c r="L16" s="26"/>
      <c r="M16" s="30"/>
      <c r="N16" s="25"/>
      <c r="O16" s="26"/>
      <c r="P16" s="26"/>
      <c r="Q16" s="39"/>
      <c r="R16" s="25"/>
      <c r="S16" s="26"/>
      <c r="T16" s="26"/>
      <c r="U16" s="39"/>
      <c r="V16" s="25"/>
      <c r="W16" s="26"/>
      <c r="X16" s="26"/>
      <c r="Y16" s="39"/>
      <c r="Z16" s="25"/>
      <c r="AA16" s="26"/>
      <c r="AB16" s="26"/>
      <c r="AC16" s="39"/>
      <c r="AD16" s="25"/>
      <c r="AE16" s="26"/>
      <c r="AF16" s="26"/>
      <c r="AG16" s="39"/>
      <c r="AH16" s="23"/>
      <c r="AI16" s="26"/>
      <c r="AJ16" s="24">
        <f t="shared" si="9"/>
        <v>0</v>
      </c>
      <c r="AK16" s="39"/>
      <c r="AL16" s="79">
        <f t="shared" si="10"/>
        <v>35.188022100000005</v>
      </c>
    </row>
    <row r="17" spans="1:38">
      <c r="A17" s="138" t="s">
        <v>6</v>
      </c>
      <c r="B17" s="3" t="s">
        <v>1</v>
      </c>
      <c r="C17" s="3">
        <v>97</v>
      </c>
      <c r="D17" s="4">
        <v>470726.5</v>
      </c>
      <c r="E17" s="4">
        <f t="shared" si="4"/>
        <v>142394.76624999999</v>
      </c>
      <c r="F17" s="4">
        <f t="shared" si="5"/>
        <v>299029.00912499998</v>
      </c>
      <c r="G17" s="4">
        <f t="shared" si="6"/>
        <v>299.02900912499996</v>
      </c>
      <c r="H17" s="4">
        <f t="shared" si="7"/>
        <v>209320.30638749996</v>
      </c>
      <c r="I17" s="21">
        <f t="shared" si="8"/>
        <v>209.32030638749995</v>
      </c>
      <c r="J17" s="25"/>
      <c r="K17" s="26"/>
      <c r="L17" s="26"/>
      <c r="M17" s="30"/>
      <c r="N17" s="25"/>
      <c r="O17" s="26"/>
      <c r="P17" s="26"/>
      <c r="Q17" s="39"/>
      <c r="R17" s="25"/>
      <c r="S17" s="26"/>
      <c r="T17" s="26"/>
      <c r="U17" s="39"/>
      <c r="V17" s="25"/>
      <c r="W17" s="26"/>
      <c r="X17" s="26"/>
      <c r="Y17" s="39"/>
      <c r="Z17" s="25"/>
      <c r="AA17" s="26"/>
      <c r="AB17" s="26"/>
      <c r="AC17" s="39"/>
      <c r="AD17" s="25"/>
      <c r="AE17" s="26"/>
      <c r="AF17" s="26"/>
      <c r="AG17" s="39"/>
      <c r="AH17" s="23"/>
      <c r="AI17" s="26"/>
      <c r="AJ17" s="24">
        <f t="shared" si="9"/>
        <v>0</v>
      </c>
      <c r="AK17" s="39"/>
      <c r="AL17" s="79">
        <f t="shared" si="10"/>
        <v>209.32030638749995</v>
      </c>
    </row>
    <row r="18" spans="1:38">
      <c r="A18" s="138"/>
      <c r="B18" s="3" t="s">
        <v>2</v>
      </c>
      <c r="C18" s="3">
        <v>15</v>
      </c>
      <c r="D18" s="4">
        <v>97251</v>
      </c>
      <c r="E18" s="4">
        <f t="shared" si="4"/>
        <v>29418.427499999998</v>
      </c>
      <c r="F18" s="4">
        <f t="shared" si="5"/>
        <v>61778.697749999999</v>
      </c>
      <c r="G18" s="4">
        <f t="shared" si="6"/>
        <v>61.778697749999999</v>
      </c>
      <c r="H18" s="4">
        <f t="shared" si="7"/>
        <v>43245.088424999994</v>
      </c>
      <c r="I18" s="21">
        <f t="shared" si="8"/>
        <v>43.245088424999992</v>
      </c>
      <c r="J18" s="25"/>
      <c r="K18" s="26"/>
      <c r="L18" s="26"/>
      <c r="M18" s="30"/>
      <c r="N18" s="25"/>
      <c r="O18" s="26"/>
      <c r="P18" s="26"/>
      <c r="Q18" s="39"/>
      <c r="R18" s="25"/>
      <c r="S18" s="26"/>
      <c r="T18" s="26"/>
      <c r="U18" s="39"/>
      <c r="V18" s="25"/>
      <c r="W18" s="26"/>
      <c r="X18" s="26"/>
      <c r="Y18" s="39"/>
      <c r="Z18" s="25"/>
      <c r="AA18" s="26"/>
      <c r="AB18" s="26"/>
      <c r="AC18" s="39"/>
      <c r="AD18" s="25"/>
      <c r="AE18" s="26"/>
      <c r="AF18" s="26"/>
      <c r="AG18" s="39"/>
      <c r="AH18" s="23"/>
      <c r="AI18" s="26"/>
      <c r="AJ18" s="24">
        <f t="shared" si="9"/>
        <v>0</v>
      </c>
      <c r="AK18" s="39"/>
      <c r="AL18" s="79">
        <f t="shared" si="10"/>
        <v>43.245088424999992</v>
      </c>
    </row>
    <row r="19" spans="1:38">
      <c r="A19" s="5" t="s">
        <v>7</v>
      </c>
      <c r="B19" s="3" t="s">
        <v>1</v>
      </c>
      <c r="C19" s="3">
        <v>71</v>
      </c>
      <c r="D19" s="4">
        <v>201266</v>
      </c>
      <c r="E19" s="4">
        <f t="shared" si="4"/>
        <v>60882.964999999997</v>
      </c>
      <c r="F19" s="4">
        <f t="shared" si="5"/>
        <v>127854.2265</v>
      </c>
      <c r="G19" s="4">
        <f t="shared" si="6"/>
        <v>127.85422650000001</v>
      </c>
      <c r="H19" s="4">
        <f t="shared" si="7"/>
        <v>89497.958549999996</v>
      </c>
      <c r="I19" s="21">
        <f t="shared" si="8"/>
        <v>89.497958549999993</v>
      </c>
      <c r="J19" s="25"/>
      <c r="K19" s="26"/>
      <c r="L19" s="26"/>
      <c r="M19" s="30"/>
      <c r="N19" s="25"/>
      <c r="O19" s="26"/>
      <c r="P19" s="26">
        <v>200</v>
      </c>
      <c r="Q19" s="42"/>
      <c r="R19" s="25"/>
      <c r="S19" s="26"/>
      <c r="T19" s="26"/>
      <c r="U19" s="42"/>
      <c r="V19" s="25"/>
      <c r="W19" s="26"/>
      <c r="X19" s="26"/>
      <c r="Y19" s="42"/>
      <c r="Z19" s="25"/>
      <c r="AA19" s="26"/>
      <c r="AB19" s="26"/>
      <c r="AC19" s="42"/>
      <c r="AD19" s="25"/>
      <c r="AE19" s="26"/>
      <c r="AF19" s="26"/>
      <c r="AG19" s="42"/>
      <c r="AH19" s="23"/>
      <c r="AI19" s="26"/>
      <c r="AJ19" s="24">
        <f t="shared" si="9"/>
        <v>200</v>
      </c>
      <c r="AK19" s="42"/>
      <c r="AL19" s="79">
        <f t="shared" si="10"/>
        <v>-110.50204145000001</v>
      </c>
    </row>
    <row r="20" spans="1:38">
      <c r="A20" s="5" t="s">
        <v>8</v>
      </c>
      <c r="B20" s="3" t="s">
        <v>1</v>
      </c>
      <c r="C20" s="3">
        <v>1</v>
      </c>
      <c r="D20" s="4">
        <v>31722</v>
      </c>
      <c r="E20" s="4">
        <f t="shared" si="4"/>
        <v>9595.9049999999988</v>
      </c>
      <c r="F20" s="4">
        <f t="shared" si="5"/>
        <v>20151.4005</v>
      </c>
      <c r="G20" s="4">
        <f t="shared" si="6"/>
        <v>20.151400500000001</v>
      </c>
      <c r="H20" s="4">
        <f t="shared" si="7"/>
        <v>14105.98035</v>
      </c>
      <c r="I20" s="21">
        <f t="shared" si="8"/>
        <v>14.105980349999999</v>
      </c>
      <c r="J20" s="25"/>
      <c r="K20" s="26"/>
      <c r="L20" s="26"/>
      <c r="M20" s="30"/>
      <c r="N20" s="25"/>
      <c r="O20" s="26"/>
      <c r="P20" s="26"/>
      <c r="Q20" s="39"/>
      <c r="R20" s="25"/>
      <c r="S20" s="26"/>
      <c r="T20" s="26"/>
      <c r="U20" s="39"/>
      <c r="V20" s="25"/>
      <c r="W20" s="26"/>
      <c r="X20" s="26"/>
      <c r="Y20" s="39"/>
      <c r="Z20" s="25"/>
      <c r="AA20" s="26"/>
      <c r="AB20" s="26"/>
      <c r="AC20" s="39"/>
      <c r="AD20" s="25"/>
      <c r="AE20" s="26"/>
      <c r="AF20" s="26"/>
      <c r="AG20" s="39"/>
      <c r="AH20" s="23"/>
      <c r="AI20" s="26"/>
      <c r="AJ20" s="24">
        <f t="shared" si="9"/>
        <v>0</v>
      </c>
      <c r="AK20" s="39"/>
      <c r="AL20" s="79">
        <f t="shared" si="10"/>
        <v>14.105980349999999</v>
      </c>
    </row>
    <row r="21" spans="1:38">
      <c r="A21" s="5" t="s">
        <v>9</v>
      </c>
      <c r="B21" s="3" t="s">
        <v>2</v>
      </c>
      <c r="C21" s="3">
        <v>5</v>
      </c>
      <c r="D21" s="4">
        <v>42579</v>
      </c>
      <c r="E21" s="4">
        <v>18000</v>
      </c>
      <c r="F21" s="4">
        <f t="shared" si="5"/>
        <v>37800</v>
      </c>
      <c r="G21" s="4">
        <v>40</v>
      </c>
      <c r="H21" s="4">
        <f t="shared" si="7"/>
        <v>26460</v>
      </c>
      <c r="I21" s="21">
        <v>28</v>
      </c>
      <c r="J21" s="25"/>
      <c r="K21" s="26"/>
      <c r="L21" s="26"/>
      <c r="M21" s="30"/>
      <c r="N21" s="25"/>
      <c r="O21" s="26"/>
      <c r="P21" s="26"/>
      <c r="Q21" s="39"/>
      <c r="R21" s="25"/>
      <c r="S21" s="26"/>
      <c r="T21" s="26">
        <v>30</v>
      </c>
      <c r="U21" s="45" t="s">
        <v>46</v>
      </c>
      <c r="V21" s="25"/>
      <c r="W21" s="26"/>
      <c r="X21" s="26"/>
      <c r="Y21" s="45"/>
      <c r="Z21" s="25"/>
      <c r="AA21" s="26"/>
      <c r="AB21" s="26"/>
      <c r="AC21" s="45"/>
      <c r="AD21" s="25"/>
      <c r="AE21" s="26"/>
      <c r="AF21" s="26"/>
      <c r="AG21" s="45"/>
      <c r="AH21" s="23"/>
      <c r="AI21" s="26"/>
      <c r="AJ21" s="24">
        <f t="shared" si="9"/>
        <v>30</v>
      </c>
      <c r="AK21" s="45"/>
      <c r="AL21" s="79">
        <f t="shared" si="10"/>
        <v>-2</v>
      </c>
    </row>
    <row r="22" spans="1:38">
      <c r="A22" s="138" t="s">
        <v>10</v>
      </c>
      <c r="B22" s="3" t="s">
        <v>1</v>
      </c>
      <c r="C22" s="3">
        <v>68</v>
      </c>
      <c r="D22" s="4">
        <v>572153.53</v>
      </c>
      <c r="E22" s="4">
        <f t="shared" si="4"/>
        <v>173076.44282500001</v>
      </c>
      <c r="F22" s="4">
        <f t="shared" si="5"/>
        <v>363460.52993250004</v>
      </c>
      <c r="G22" s="4">
        <f t="shared" si="6"/>
        <v>363.46052993250004</v>
      </c>
      <c r="H22" s="4">
        <f t="shared" si="7"/>
        <v>254422.37095275</v>
      </c>
      <c r="I22" s="21">
        <f t="shared" si="8"/>
        <v>254.42237095275001</v>
      </c>
      <c r="J22" s="25"/>
      <c r="K22" s="26"/>
      <c r="L22" s="26"/>
      <c r="M22" s="30"/>
      <c r="N22" s="25"/>
      <c r="O22" s="26"/>
      <c r="P22" s="26"/>
      <c r="Q22" s="39"/>
      <c r="R22" s="25"/>
      <c r="S22" s="26"/>
      <c r="T22" s="26"/>
      <c r="U22" s="39"/>
      <c r="V22" s="25"/>
      <c r="W22" s="26"/>
      <c r="X22" s="26"/>
      <c r="Y22" s="39"/>
      <c r="Z22" s="25"/>
      <c r="AA22" s="26"/>
      <c r="AB22" s="26"/>
      <c r="AC22" s="39"/>
      <c r="AD22" s="25"/>
      <c r="AE22" s="26"/>
      <c r="AF22" s="26"/>
      <c r="AG22" s="39"/>
      <c r="AH22" s="23"/>
      <c r="AI22" s="26"/>
      <c r="AJ22" s="24">
        <f t="shared" si="9"/>
        <v>0</v>
      </c>
      <c r="AK22" s="39"/>
      <c r="AL22" s="79">
        <f t="shared" si="10"/>
        <v>254.42237095275001</v>
      </c>
    </row>
    <row r="23" spans="1:38">
      <c r="A23" s="138"/>
      <c r="B23" s="3" t="s">
        <v>2</v>
      </c>
      <c r="C23" s="3">
        <v>93</v>
      </c>
      <c r="D23" s="4">
        <v>780737.1</v>
      </c>
      <c r="E23" s="4">
        <f t="shared" si="4"/>
        <v>236172.97274999999</v>
      </c>
      <c r="F23" s="4">
        <f t="shared" si="5"/>
        <v>495963.24277499999</v>
      </c>
      <c r="G23" s="4">
        <f t="shared" si="6"/>
        <v>495.96324277499997</v>
      </c>
      <c r="H23" s="4">
        <f t="shared" si="7"/>
        <v>347174.26994249999</v>
      </c>
      <c r="I23" s="21">
        <f t="shared" si="8"/>
        <v>347.17426994249996</v>
      </c>
      <c r="J23" s="25"/>
      <c r="K23" s="26"/>
      <c r="L23" s="26"/>
      <c r="M23" s="30"/>
      <c r="N23" s="25"/>
      <c r="O23" s="26"/>
      <c r="P23" s="26"/>
      <c r="Q23" s="39"/>
      <c r="R23" s="25"/>
      <c r="S23" s="26"/>
      <c r="T23" s="26"/>
      <c r="U23" s="39"/>
      <c r="V23" s="25"/>
      <c r="W23" s="26"/>
      <c r="X23" s="26"/>
      <c r="Y23" s="39"/>
      <c r="Z23" s="25"/>
      <c r="AA23" s="26"/>
      <c r="AB23" s="26"/>
      <c r="AC23" s="39"/>
      <c r="AD23" s="25"/>
      <c r="AE23" s="26"/>
      <c r="AF23" s="26"/>
      <c r="AG23" s="39"/>
      <c r="AH23" s="23"/>
      <c r="AI23" s="26"/>
      <c r="AJ23" s="24">
        <f t="shared" si="9"/>
        <v>0</v>
      </c>
      <c r="AK23" s="39"/>
      <c r="AL23" s="79">
        <f t="shared" si="10"/>
        <v>347.17426994249996</v>
      </c>
    </row>
    <row r="24" spans="1:38" ht="24">
      <c r="A24" s="138" t="s">
        <v>11</v>
      </c>
      <c r="B24" s="3" t="s">
        <v>1</v>
      </c>
      <c r="C24" s="3">
        <v>729</v>
      </c>
      <c r="D24" s="4">
        <v>4697268.0999999996</v>
      </c>
      <c r="E24" s="4">
        <f t="shared" si="4"/>
        <v>1420923.6002499999</v>
      </c>
      <c r="F24" s="4">
        <f t="shared" si="5"/>
        <v>2983939.5605250001</v>
      </c>
      <c r="G24" s="4">
        <f t="shared" si="6"/>
        <v>2983.9395605250002</v>
      </c>
      <c r="H24" s="4">
        <f t="shared" si="7"/>
        <v>2088757.6923674999</v>
      </c>
      <c r="I24" s="21">
        <f t="shared" si="8"/>
        <v>2088.7576923675001</v>
      </c>
      <c r="J24" s="25"/>
      <c r="K24" s="26"/>
      <c r="L24" s="32">
        <v>750</v>
      </c>
      <c r="M24" s="33" t="s">
        <v>42</v>
      </c>
      <c r="N24" s="25"/>
      <c r="O24" s="26"/>
      <c r="P24" s="32"/>
      <c r="Q24" s="40"/>
      <c r="R24" s="25"/>
      <c r="S24" s="26"/>
      <c r="T24" s="32"/>
      <c r="U24" s="40"/>
      <c r="V24" s="25"/>
      <c r="W24" s="26"/>
      <c r="X24" s="32"/>
      <c r="Y24" s="40"/>
      <c r="Z24" s="25"/>
      <c r="AA24" s="26"/>
      <c r="AB24" s="32"/>
      <c r="AC24" s="40"/>
      <c r="AD24" s="65">
        <v>18</v>
      </c>
      <c r="AE24" s="66">
        <v>11640</v>
      </c>
      <c r="AF24" s="67">
        <v>141.19999999999999</v>
      </c>
      <c r="AG24" s="68" t="s">
        <v>54</v>
      </c>
      <c r="AH24" s="23"/>
      <c r="AI24" s="66"/>
      <c r="AJ24" s="24">
        <f t="shared" si="9"/>
        <v>891.2</v>
      </c>
      <c r="AK24" s="68"/>
      <c r="AL24" s="79">
        <f t="shared" si="10"/>
        <v>1197.5576923675001</v>
      </c>
    </row>
    <row r="25" spans="1:38">
      <c r="A25" s="138"/>
      <c r="B25" s="3" t="s">
        <v>2</v>
      </c>
      <c r="C25" s="3">
        <v>256</v>
      </c>
      <c r="D25" s="4">
        <v>2065851.3</v>
      </c>
      <c r="E25" s="4">
        <f t="shared" si="4"/>
        <v>624920.01824999996</v>
      </c>
      <c r="F25" s="4">
        <f t="shared" si="5"/>
        <v>1312332.0383250001</v>
      </c>
      <c r="G25" s="4">
        <f t="shared" si="6"/>
        <v>1312.332038325</v>
      </c>
      <c r="H25" s="4">
        <f t="shared" si="7"/>
        <v>918632.42682749999</v>
      </c>
      <c r="I25" s="21">
        <f t="shared" si="8"/>
        <v>918.63242682750001</v>
      </c>
      <c r="J25" s="25"/>
      <c r="K25" s="26"/>
      <c r="L25" s="26"/>
      <c r="M25" s="30"/>
      <c r="N25" s="25"/>
      <c r="O25" s="26"/>
      <c r="P25" s="26"/>
      <c r="Q25" s="39"/>
      <c r="R25" s="25"/>
      <c r="S25" s="26"/>
      <c r="T25" s="26"/>
      <c r="U25" s="39"/>
      <c r="V25" s="25"/>
      <c r="W25" s="26"/>
      <c r="X25" s="26"/>
      <c r="Y25" s="39"/>
      <c r="Z25" s="25"/>
      <c r="AA25" s="26"/>
      <c r="AB25" s="26"/>
      <c r="AC25" s="39"/>
      <c r="AD25" s="25"/>
      <c r="AE25" s="26"/>
      <c r="AF25" s="26"/>
      <c r="AG25" s="39"/>
      <c r="AH25" s="23"/>
      <c r="AI25" s="26"/>
      <c r="AJ25" s="24">
        <f t="shared" si="9"/>
        <v>0</v>
      </c>
      <c r="AK25" s="39"/>
      <c r="AL25" s="79">
        <f t="shared" si="10"/>
        <v>918.63242682750001</v>
      </c>
    </row>
    <row r="26" spans="1:38">
      <c r="A26" s="138" t="s">
        <v>12</v>
      </c>
      <c r="B26" s="3" t="s">
        <v>1</v>
      </c>
      <c r="C26" s="3">
        <v>120</v>
      </c>
      <c r="D26" s="4">
        <v>1532686.2</v>
      </c>
      <c r="E26" s="4">
        <f t="shared" si="4"/>
        <v>463637.57549999998</v>
      </c>
      <c r="F26" s="4">
        <f t="shared" si="5"/>
        <v>973638.90855000005</v>
      </c>
      <c r="G26" s="4">
        <f t="shared" si="6"/>
        <v>973.63890855</v>
      </c>
      <c r="H26" s="4">
        <f t="shared" si="7"/>
        <v>681547.23598500004</v>
      </c>
      <c r="I26" s="21">
        <f t="shared" si="8"/>
        <v>681.54723598500004</v>
      </c>
      <c r="J26" s="25"/>
      <c r="K26" s="26"/>
      <c r="L26" s="26"/>
      <c r="M26" s="30"/>
      <c r="N26" s="25"/>
      <c r="O26" s="26"/>
      <c r="P26" s="26"/>
      <c r="Q26" s="39"/>
      <c r="R26" s="25"/>
      <c r="S26" s="26"/>
      <c r="T26" s="26"/>
      <c r="U26" s="39"/>
      <c r="V26" s="25"/>
      <c r="W26" s="26"/>
      <c r="X26" s="26"/>
      <c r="Y26" s="39"/>
      <c r="Z26" s="25"/>
      <c r="AA26" s="26"/>
      <c r="AB26" s="26"/>
      <c r="AC26" s="39"/>
      <c r="AD26" s="25"/>
      <c r="AE26" s="26"/>
      <c r="AF26" s="26"/>
      <c r="AG26" s="39"/>
      <c r="AH26" s="23"/>
      <c r="AI26" s="26"/>
      <c r="AJ26" s="24">
        <f t="shared" si="9"/>
        <v>0</v>
      </c>
      <c r="AK26" s="39"/>
      <c r="AL26" s="79">
        <f t="shared" si="10"/>
        <v>681.54723598500004</v>
      </c>
    </row>
    <row r="27" spans="1:38">
      <c r="A27" s="138"/>
      <c r="B27" s="3" t="s">
        <v>2</v>
      </c>
      <c r="C27" s="3">
        <v>88</v>
      </c>
      <c r="D27" s="4">
        <v>1075890.2</v>
      </c>
      <c r="E27" s="4">
        <f t="shared" si="4"/>
        <v>325456.7855</v>
      </c>
      <c r="F27" s="4">
        <f t="shared" si="5"/>
        <v>683459.24955000007</v>
      </c>
      <c r="G27" s="4">
        <f t="shared" si="6"/>
        <v>683.4592495500001</v>
      </c>
      <c r="H27" s="4">
        <f t="shared" si="7"/>
        <v>478421.47468500002</v>
      </c>
      <c r="I27" s="21">
        <f t="shared" si="8"/>
        <v>478.42147468500002</v>
      </c>
      <c r="J27" s="25"/>
      <c r="K27" s="26"/>
      <c r="L27" s="26"/>
      <c r="M27" s="30"/>
      <c r="N27" s="25"/>
      <c r="O27" s="26"/>
      <c r="P27" s="26"/>
      <c r="Q27" s="39"/>
      <c r="R27" s="25"/>
      <c r="S27" s="26"/>
      <c r="T27" s="26"/>
      <c r="U27" s="39"/>
      <c r="V27" s="25"/>
      <c r="W27" s="26"/>
      <c r="X27" s="26"/>
      <c r="Y27" s="39"/>
      <c r="Z27" s="25"/>
      <c r="AA27" s="26"/>
      <c r="AB27" s="26"/>
      <c r="AC27" s="39"/>
      <c r="AD27" s="25"/>
      <c r="AE27" s="26"/>
      <c r="AF27" s="26"/>
      <c r="AG27" s="39"/>
      <c r="AH27" s="23"/>
      <c r="AI27" s="26"/>
      <c r="AJ27" s="24">
        <f t="shared" si="9"/>
        <v>0</v>
      </c>
      <c r="AK27" s="39"/>
      <c r="AL27" s="79">
        <f t="shared" si="10"/>
        <v>478.42147468500002</v>
      </c>
    </row>
    <row r="28" spans="1:38">
      <c r="A28" s="138" t="s">
        <v>13</v>
      </c>
      <c r="B28" s="3" t="s">
        <v>1</v>
      </c>
      <c r="C28" s="3">
        <v>96</v>
      </c>
      <c r="D28" s="4">
        <v>1370772.8</v>
      </c>
      <c r="E28" s="4">
        <f t="shared" si="4"/>
        <v>414658.772</v>
      </c>
      <c r="F28" s="4">
        <f t="shared" si="5"/>
        <v>870783.42119999998</v>
      </c>
      <c r="G28" s="4">
        <f t="shared" si="6"/>
        <v>870.78342120000002</v>
      </c>
      <c r="H28" s="4">
        <f t="shared" si="7"/>
        <v>609548.39483999996</v>
      </c>
      <c r="I28" s="21">
        <f t="shared" si="8"/>
        <v>609.54839484000001</v>
      </c>
      <c r="J28" s="25"/>
      <c r="K28" s="26"/>
      <c r="L28" s="26"/>
      <c r="M28" s="30"/>
      <c r="N28" s="25"/>
      <c r="O28" s="26"/>
      <c r="P28" s="26"/>
      <c r="Q28" s="39"/>
      <c r="R28" s="25"/>
      <c r="S28" s="26"/>
      <c r="T28" s="26"/>
      <c r="U28" s="39"/>
      <c r="V28" s="25"/>
      <c r="W28" s="26"/>
      <c r="X28" s="26"/>
      <c r="Y28" s="39"/>
      <c r="Z28" s="25"/>
      <c r="AA28" s="26"/>
      <c r="AB28" s="26"/>
      <c r="AC28" s="39"/>
      <c r="AD28" s="25"/>
      <c r="AE28" s="26"/>
      <c r="AF28" s="26"/>
      <c r="AG28" s="39"/>
      <c r="AH28" s="23"/>
      <c r="AI28" s="26"/>
      <c r="AJ28" s="24">
        <f t="shared" si="9"/>
        <v>0</v>
      </c>
      <c r="AK28" s="39"/>
      <c r="AL28" s="79">
        <f t="shared" si="10"/>
        <v>609.54839484000001</v>
      </c>
    </row>
    <row r="29" spans="1:38">
      <c r="A29" s="138"/>
      <c r="B29" s="3" t="s">
        <v>2</v>
      </c>
      <c r="C29" s="3">
        <v>2</v>
      </c>
      <c r="D29" s="4">
        <v>20840</v>
      </c>
      <c r="E29" s="4">
        <f t="shared" si="4"/>
        <v>6304.0999999999995</v>
      </c>
      <c r="F29" s="4">
        <f t="shared" si="5"/>
        <v>13238.609999999999</v>
      </c>
      <c r="G29" s="4">
        <f t="shared" si="6"/>
        <v>13.23861</v>
      </c>
      <c r="H29" s="4">
        <f t="shared" si="7"/>
        <v>9267.0269999999982</v>
      </c>
      <c r="I29" s="21">
        <f t="shared" si="8"/>
        <v>9.2670269999999988</v>
      </c>
      <c r="J29" s="25"/>
      <c r="K29" s="26"/>
      <c r="L29" s="26"/>
      <c r="M29" s="30"/>
      <c r="N29" s="25"/>
      <c r="O29" s="26"/>
      <c r="P29" s="26"/>
      <c r="Q29" s="39"/>
      <c r="R29" s="25"/>
      <c r="S29" s="26"/>
      <c r="T29" s="26"/>
      <c r="U29" s="39"/>
      <c r="V29" s="25"/>
      <c r="W29" s="26"/>
      <c r="X29" s="26"/>
      <c r="Y29" s="39"/>
      <c r="Z29" s="25"/>
      <c r="AA29" s="26"/>
      <c r="AB29" s="26"/>
      <c r="AC29" s="39"/>
      <c r="AD29" s="25"/>
      <c r="AE29" s="26"/>
      <c r="AF29" s="26"/>
      <c r="AG29" s="39"/>
      <c r="AH29" s="23"/>
      <c r="AI29" s="26"/>
      <c r="AJ29" s="24">
        <f t="shared" si="9"/>
        <v>0</v>
      </c>
      <c r="AK29" s="39"/>
      <c r="AL29" s="79">
        <f t="shared" si="10"/>
        <v>9.2670269999999988</v>
      </c>
    </row>
    <row r="30" spans="1:38">
      <c r="A30" s="138" t="s">
        <v>14</v>
      </c>
      <c r="B30" s="3" t="s">
        <v>1</v>
      </c>
      <c r="C30" s="3">
        <v>29</v>
      </c>
      <c r="D30" s="4">
        <v>155629</v>
      </c>
      <c r="E30" s="4">
        <f t="shared" si="4"/>
        <v>47077.772499999999</v>
      </c>
      <c r="F30" s="4">
        <f t="shared" si="5"/>
        <v>98863.322249999997</v>
      </c>
      <c r="G30" s="4">
        <f t="shared" si="6"/>
        <v>98.863322249999996</v>
      </c>
      <c r="H30" s="4">
        <f t="shared" si="7"/>
        <v>69204.325574999995</v>
      </c>
      <c r="I30" s="21">
        <f t="shared" si="8"/>
        <v>69.204325574999999</v>
      </c>
      <c r="J30" s="25"/>
      <c r="K30" s="26"/>
      <c r="L30" s="26"/>
      <c r="M30" s="30"/>
      <c r="N30" s="25"/>
      <c r="O30" s="26"/>
      <c r="P30" s="26"/>
      <c r="Q30" s="39"/>
      <c r="R30" s="25"/>
      <c r="S30" s="26"/>
      <c r="T30" s="26"/>
      <c r="U30" s="39"/>
      <c r="V30" s="25"/>
      <c r="W30" s="26"/>
      <c r="X30" s="26"/>
      <c r="Y30" s="39"/>
      <c r="Z30" s="25"/>
      <c r="AA30" s="26"/>
      <c r="AB30" s="26"/>
      <c r="AC30" s="39"/>
      <c r="AD30" s="25"/>
      <c r="AE30" s="26"/>
      <c r="AF30" s="26"/>
      <c r="AG30" s="39"/>
      <c r="AH30" s="23"/>
      <c r="AI30" s="26"/>
      <c r="AJ30" s="24">
        <f t="shared" si="9"/>
        <v>0</v>
      </c>
      <c r="AK30" s="39"/>
      <c r="AL30" s="79">
        <f t="shared" si="10"/>
        <v>69.204325574999999</v>
      </c>
    </row>
    <row r="31" spans="1:38">
      <c r="A31" s="138"/>
      <c r="B31" s="3" t="s">
        <v>2</v>
      </c>
      <c r="C31" s="3">
        <v>165</v>
      </c>
      <c r="D31" s="4">
        <v>1806880.9</v>
      </c>
      <c r="E31" s="4">
        <f t="shared" si="4"/>
        <v>546581.47224999999</v>
      </c>
      <c r="F31" s="4">
        <f t="shared" si="5"/>
        <v>1147821.0917249999</v>
      </c>
      <c r="G31" s="4">
        <f t="shared" si="6"/>
        <v>1147.8210917249999</v>
      </c>
      <c r="H31" s="4">
        <f t="shared" si="7"/>
        <v>803474.76420749992</v>
      </c>
      <c r="I31" s="21">
        <f t="shared" si="8"/>
        <v>803.4747642074999</v>
      </c>
      <c r="J31" s="25"/>
      <c r="K31" s="26"/>
      <c r="L31" s="26"/>
      <c r="M31" s="30"/>
      <c r="N31" s="25"/>
      <c r="O31" s="26"/>
      <c r="P31" s="26"/>
      <c r="Q31" s="39"/>
      <c r="R31" s="25"/>
      <c r="S31" s="26"/>
      <c r="T31" s="26"/>
      <c r="U31" s="39"/>
      <c r="V31" s="25"/>
      <c r="W31" s="26"/>
      <c r="X31" s="26"/>
      <c r="Y31" s="39"/>
      <c r="Z31" s="25"/>
      <c r="AA31" s="26"/>
      <c r="AB31" s="26"/>
      <c r="AC31" s="39"/>
      <c r="AD31" s="25"/>
      <c r="AE31" s="26"/>
      <c r="AF31" s="26"/>
      <c r="AG31" s="39"/>
      <c r="AH31" s="23"/>
      <c r="AI31" s="26"/>
      <c r="AJ31" s="24">
        <f t="shared" si="9"/>
        <v>0</v>
      </c>
      <c r="AK31" s="39"/>
      <c r="AL31" s="79">
        <f t="shared" si="10"/>
        <v>803.4747642074999</v>
      </c>
    </row>
    <row r="32" spans="1:38">
      <c r="A32" s="5" t="s">
        <v>15</v>
      </c>
      <c r="B32" s="3" t="s">
        <v>1</v>
      </c>
      <c r="C32" s="3">
        <v>14</v>
      </c>
      <c r="D32" s="4">
        <v>104675</v>
      </c>
      <c r="E32" s="4">
        <f t="shared" si="4"/>
        <v>31664.1875</v>
      </c>
      <c r="F32" s="4">
        <f t="shared" si="5"/>
        <v>66494.793749999997</v>
      </c>
      <c r="G32" s="4">
        <f t="shared" si="6"/>
        <v>66.494793749999999</v>
      </c>
      <c r="H32" s="4">
        <f t="shared" si="7"/>
        <v>46546.355624999997</v>
      </c>
      <c r="I32" s="21">
        <f t="shared" si="8"/>
        <v>46.546355624999997</v>
      </c>
      <c r="J32" s="25"/>
      <c r="K32" s="26"/>
      <c r="L32" s="26">
        <v>50</v>
      </c>
      <c r="M32" s="30"/>
      <c r="N32" s="25"/>
      <c r="O32" s="26"/>
      <c r="P32" s="26"/>
      <c r="Q32" s="39"/>
      <c r="R32" s="25"/>
      <c r="S32" s="26"/>
      <c r="T32" s="26"/>
      <c r="U32" s="39"/>
      <c r="V32" s="25"/>
      <c r="W32" s="26"/>
      <c r="X32" s="26"/>
      <c r="Y32" s="39"/>
      <c r="Z32" s="25"/>
      <c r="AA32" s="26"/>
      <c r="AB32" s="26"/>
      <c r="AC32" s="39"/>
      <c r="AD32" s="25"/>
      <c r="AE32" s="26"/>
      <c r="AF32" s="26"/>
      <c r="AG32" s="39"/>
      <c r="AH32" s="23"/>
      <c r="AI32" s="26"/>
      <c r="AJ32" s="24">
        <f t="shared" si="9"/>
        <v>50</v>
      </c>
      <c r="AK32" s="39"/>
      <c r="AL32" s="79">
        <f t="shared" si="10"/>
        <v>-3.4536443750000032</v>
      </c>
    </row>
    <row r="33" spans="1:38">
      <c r="A33" s="138" t="s">
        <v>16</v>
      </c>
      <c r="B33" s="3" t="s">
        <v>1</v>
      </c>
      <c r="C33" s="3">
        <v>114</v>
      </c>
      <c r="D33" s="4">
        <v>865759.6</v>
      </c>
      <c r="E33" s="4">
        <f t="shared" si="4"/>
        <v>261892.27899999998</v>
      </c>
      <c r="F33" s="4">
        <f t="shared" si="5"/>
        <v>549973.78590000002</v>
      </c>
      <c r="G33" s="4">
        <f t="shared" si="6"/>
        <v>549.97378590000005</v>
      </c>
      <c r="H33" s="4">
        <f t="shared" si="7"/>
        <v>384981.65012999997</v>
      </c>
      <c r="I33" s="21">
        <f t="shared" si="8"/>
        <v>384.98165012999999</v>
      </c>
      <c r="J33" s="25"/>
      <c r="K33" s="26"/>
      <c r="L33" s="26"/>
      <c r="M33" s="30"/>
      <c r="N33" s="25"/>
      <c r="O33" s="26"/>
      <c r="P33" s="26"/>
      <c r="Q33" s="39"/>
      <c r="R33" s="25"/>
      <c r="S33" s="26"/>
      <c r="T33" s="26"/>
      <c r="U33" s="39"/>
      <c r="V33" s="25"/>
      <c r="W33" s="26"/>
      <c r="X33" s="26"/>
      <c r="Y33" s="39"/>
      <c r="Z33" s="25"/>
      <c r="AA33" s="26"/>
      <c r="AB33" s="26"/>
      <c r="AC33" s="39"/>
      <c r="AD33" s="25"/>
      <c r="AE33" s="26"/>
      <c r="AF33" s="26"/>
      <c r="AG33" s="39"/>
      <c r="AH33" s="23"/>
      <c r="AI33" s="26"/>
      <c r="AJ33" s="24">
        <f t="shared" si="9"/>
        <v>0</v>
      </c>
      <c r="AK33" s="39"/>
      <c r="AL33" s="79">
        <f t="shared" si="10"/>
        <v>384.98165012999999</v>
      </c>
    </row>
    <row r="34" spans="1:38">
      <c r="A34" s="138"/>
      <c r="B34" s="3" t="s">
        <v>2</v>
      </c>
      <c r="C34" s="3">
        <v>11</v>
      </c>
      <c r="D34" s="4">
        <v>87188.3</v>
      </c>
      <c r="E34" s="4">
        <f t="shared" si="4"/>
        <v>26374.460749999998</v>
      </c>
      <c r="F34" s="4">
        <f t="shared" si="5"/>
        <v>55386.367574999997</v>
      </c>
      <c r="G34" s="4">
        <f t="shared" si="6"/>
        <v>55.386367574999994</v>
      </c>
      <c r="H34" s="4">
        <f t="shared" si="7"/>
        <v>38770.457302499992</v>
      </c>
      <c r="I34" s="21">
        <f t="shared" si="8"/>
        <v>38.770457302499992</v>
      </c>
      <c r="J34" s="25"/>
      <c r="K34" s="26"/>
      <c r="L34" s="26"/>
      <c r="M34" s="30"/>
      <c r="N34" s="25"/>
      <c r="O34" s="26"/>
      <c r="P34" s="26"/>
      <c r="Q34" s="39"/>
      <c r="R34" s="25"/>
      <c r="S34" s="26"/>
      <c r="T34" s="26"/>
      <c r="U34" s="39"/>
      <c r="V34" s="25"/>
      <c r="W34" s="26"/>
      <c r="X34" s="26"/>
      <c r="Y34" s="39"/>
      <c r="Z34" s="25"/>
      <c r="AA34" s="26"/>
      <c r="AB34" s="26"/>
      <c r="AC34" s="39"/>
      <c r="AD34" s="25"/>
      <c r="AE34" s="26"/>
      <c r="AF34" s="26"/>
      <c r="AG34" s="39"/>
      <c r="AH34" s="23"/>
      <c r="AI34" s="26"/>
      <c r="AJ34" s="24">
        <f t="shared" si="9"/>
        <v>0</v>
      </c>
      <c r="AK34" s="39"/>
      <c r="AL34" s="79">
        <f t="shared" si="10"/>
        <v>38.770457302499992</v>
      </c>
    </row>
    <row r="35" spans="1:38">
      <c r="A35" s="138" t="s">
        <v>17</v>
      </c>
      <c r="B35" s="3" t="s">
        <v>1</v>
      </c>
      <c r="C35" s="3">
        <v>131</v>
      </c>
      <c r="D35" s="4">
        <v>2321543</v>
      </c>
      <c r="E35" s="4">
        <f t="shared" si="4"/>
        <v>702266.75749999995</v>
      </c>
      <c r="F35" s="4">
        <f t="shared" si="5"/>
        <v>1474760.1907500001</v>
      </c>
      <c r="G35" s="4">
        <f t="shared" si="6"/>
        <v>1474.76019075</v>
      </c>
      <c r="H35" s="4">
        <f t="shared" si="7"/>
        <v>1032332.133525</v>
      </c>
      <c r="I35" s="21">
        <f t="shared" si="8"/>
        <v>1032.332133525</v>
      </c>
      <c r="J35" s="25"/>
      <c r="K35" s="26"/>
      <c r="L35" s="26"/>
      <c r="M35" s="30"/>
      <c r="N35" s="25"/>
      <c r="O35" s="26"/>
      <c r="P35" s="26"/>
      <c r="Q35" s="39"/>
      <c r="R35" s="25"/>
      <c r="S35" s="26"/>
      <c r="T35" s="26"/>
      <c r="U35" s="39"/>
      <c r="V35" s="25"/>
      <c r="W35" s="26"/>
      <c r="X35" s="26"/>
      <c r="Y35" s="39"/>
      <c r="Z35" s="25"/>
      <c r="AA35" s="26"/>
      <c r="AB35" s="26">
        <v>764</v>
      </c>
      <c r="AC35" s="39"/>
      <c r="AD35" s="25"/>
      <c r="AE35" s="26"/>
      <c r="AF35" s="26"/>
      <c r="AG35" s="39"/>
      <c r="AH35" s="23"/>
      <c r="AI35" s="26"/>
      <c r="AJ35" s="24">
        <f t="shared" si="9"/>
        <v>764</v>
      </c>
      <c r="AK35" s="39"/>
      <c r="AL35" s="79">
        <f t="shared" si="10"/>
        <v>268.33213352500002</v>
      </c>
    </row>
    <row r="36" spans="1:38">
      <c r="A36" s="138"/>
      <c r="B36" s="3" t="s">
        <v>2</v>
      </c>
      <c r="C36" s="3">
        <v>26</v>
      </c>
      <c r="D36" s="4">
        <v>496977</v>
      </c>
      <c r="E36" s="4">
        <f t="shared" si="4"/>
        <v>150335.54249999998</v>
      </c>
      <c r="F36" s="4">
        <f t="shared" si="5"/>
        <v>315704.63924999995</v>
      </c>
      <c r="G36" s="4">
        <f t="shared" si="6"/>
        <v>315.70463924999996</v>
      </c>
      <c r="H36" s="4">
        <f t="shared" si="7"/>
        <v>220993.24747499995</v>
      </c>
      <c r="I36" s="21">
        <f t="shared" si="8"/>
        <v>220.99324747499995</v>
      </c>
      <c r="J36" s="25"/>
      <c r="K36" s="26"/>
      <c r="L36" s="26"/>
      <c r="M36" s="30"/>
      <c r="N36" s="25"/>
      <c r="O36" s="26"/>
      <c r="P36" s="26"/>
      <c r="Q36" s="39"/>
      <c r="R36" s="25"/>
      <c r="S36" s="26"/>
      <c r="T36" s="26"/>
      <c r="U36" s="39"/>
      <c r="V36" s="25"/>
      <c r="W36" s="26"/>
      <c r="X36" s="26"/>
      <c r="Y36" s="39"/>
      <c r="Z36" s="25"/>
      <c r="AA36" s="26"/>
      <c r="AB36" s="26"/>
      <c r="AC36" s="39"/>
      <c r="AD36" s="25"/>
      <c r="AE36" s="26"/>
      <c r="AF36" s="26"/>
      <c r="AG36" s="39"/>
      <c r="AH36" s="23"/>
      <c r="AI36" s="26"/>
      <c r="AJ36" s="24">
        <f t="shared" si="9"/>
        <v>0</v>
      </c>
      <c r="AK36" s="39"/>
      <c r="AL36" s="79">
        <f t="shared" si="10"/>
        <v>220.99324747499995</v>
      </c>
    </row>
    <row r="37" spans="1:38">
      <c r="A37" s="138" t="s">
        <v>18</v>
      </c>
      <c r="B37" s="3" t="s">
        <v>1</v>
      </c>
      <c r="C37" s="3">
        <v>14</v>
      </c>
      <c r="D37" s="4">
        <v>300215.90000000002</v>
      </c>
      <c r="E37" s="4">
        <f t="shared" si="4"/>
        <v>90815.30975</v>
      </c>
      <c r="F37" s="4">
        <f t="shared" si="5"/>
        <v>190712.150475</v>
      </c>
      <c r="G37" s="4">
        <f t="shared" si="6"/>
        <v>190.71215047500002</v>
      </c>
      <c r="H37" s="4">
        <f t="shared" si="7"/>
        <v>133498.5053325</v>
      </c>
      <c r="I37" s="21">
        <f t="shared" si="8"/>
        <v>133.4985053325</v>
      </c>
      <c r="J37" s="25"/>
      <c r="K37" s="26"/>
      <c r="L37" s="26"/>
      <c r="M37" s="30"/>
      <c r="N37" s="25"/>
      <c r="O37" s="26"/>
      <c r="P37" s="26"/>
      <c r="Q37" s="39"/>
      <c r="R37" s="25"/>
      <c r="S37" s="26"/>
      <c r="T37" s="26"/>
      <c r="U37" s="39"/>
      <c r="V37" s="25"/>
      <c r="W37" s="26"/>
      <c r="X37" s="26"/>
      <c r="Y37" s="39"/>
      <c r="Z37" s="25"/>
      <c r="AA37" s="26"/>
      <c r="AB37" s="26"/>
      <c r="AC37" s="39"/>
      <c r="AD37" s="25"/>
      <c r="AE37" s="26"/>
      <c r="AF37" s="26"/>
      <c r="AG37" s="39"/>
      <c r="AH37" s="23"/>
      <c r="AI37" s="26"/>
      <c r="AJ37" s="24">
        <f t="shared" si="9"/>
        <v>0</v>
      </c>
      <c r="AK37" s="39"/>
      <c r="AL37" s="79">
        <f t="shared" si="10"/>
        <v>133.4985053325</v>
      </c>
    </row>
    <row r="38" spans="1:38">
      <c r="A38" s="138"/>
      <c r="B38" s="3" t="s">
        <v>2</v>
      </c>
      <c r="C38" s="3">
        <v>8</v>
      </c>
      <c r="D38" s="4">
        <v>293938.40000000002</v>
      </c>
      <c r="E38" s="4">
        <f t="shared" si="4"/>
        <v>88916.366000000009</v>
      </c>
      <c r="F38" s="4">
        <f t="shared" si="5"/>
        <v>186724.36860000002</v>
      </c>
      <c r="G38" s="4">
        <f t="shared" si="6"/>
        <v>186.72436860000002</v>
      </c>
      <c r="H38" s="4">
        <f t="shared" si="7"/>
        <v>130707.05802</v>
      </c>
      <c r="I38" s="21">
        <f t="shared" si="8"/>
        <v>130.70705802000001</v>
      </c>
      <c r="J38" s="25"/>
      <c r="K38" s="26"/>
      <c r="L38" s="26"/>
      <c r="M38" s="30"/>
      <c r="N38" s="25"/>
      <c r="O38" s="26"/>
      <c r="P38" s="26"/>
      <c r="Q38" s="39"/>
      <c r="R38" s="25"/>
      <c r="S38" s="26"/>
      <c r="T38" s="26"/>
      <c r="U38" s="39"/>
      <c r="V38" s="25"/>
      <c r="W38" s="26"/>
      <c r="X38" s="26"/>
      <c r="Y38" s="39"/>
      <c r="Z38" s="25"/>
      <c r="AA38" s="26"/>
      <c r="AB38" s="26"/>
      <c r="AC38" s="39"/>
      <c r="AD38" s="25"/>
      <c r="AE38" s="26"/>
      <c r="AF38" s="26"/>
      <c r="AG38" s="39"/>
      <c r="AH38" s="23"/>
      <c r="AI38" s="26"/>
      <c r="AJ38" s="24">
        <f t="shared" si="9"/>
        <v>0</v>
      </c>
      <c r="AK38" s="39"/>
      <c r="AL38" s="79">
        <f t="shared" si="10"/>
        <v>130.70705802000001</v>
      </c>
    </row>
    <row r="39" spans="1:38">
      <c r="A39" s="138" t="s">
        <v>19</v>
      </c>
      <c r="B39" s="3" t="s">
        <v>1</v>
      </c>
      <c r="C39" s="3">
        <v>8</v>
      </c>
      <c r="D39" s="4">
        <v>74418</v>
      </c>
      <c r="E39" s="4">
        <f t="shared" si="4"/>
        <v>22511.445</v>
      </c>
      <c r="F39" s="4">
        <f t="shared" si="5"/>
        <v>47274.034500000002</v>
      </c>
      <c r="G39" s="4">
        <f t="shared" si="6"/>
        <v>47.274034499999999</v>
      </c>
      <c r="H39" s="4">
        <f t="shared" si="7"/>
        <v>33091.82415</v>
      </c>
      <c r="I39" s="21">
        <f t="shared" si="8"/>
        <v>33.091824150000001</v>
      </c>
      <c r="J39" s="25"/>
      <c r="K39" s="26"/>
      <c r="L39" s="26"/>
      <c r="M39" s="30"/>
      <c r="N39" s="25"/>
      <c r="O39" s="26"/>
      <c r="P39" s="26"/>
      <c r="Q39" s="39"/>
      <c r="R39" s="25"/>
      <c r="S39" s="26"/>
      <c r="T39" s="26"/>
      <c r="U39" s="39"/>
      <c r="V39" s="25"/>
      <c r="W39" s="26"/>
      <c r="X39" s="26"/>
      <c r="Y39" s="39"/>
      <c r="Z39" s="25"/>
      <c r="AA39" s="26"/>
      <c r="AB39" s="26"/>
      <c r="AC39" s="39"/>
      <c r="AD39" s="25"/>
      <c r="AE39" s="26"/>
      <c r="AF39" s="26"/>
      <c r="AG39" s="39"/>
      <c r="AH39" s="23"/>
      <c r="AI39" s="26"/>
      <c r="AJ39" s="24">
        <f t="shared" si="9"/>
        <v>0</v>
      </c>
      <c r="AK39" s="39"/>
      <c r="AL39" s="79">
        <f t="shared" si="10"/>
        <v>33.091824150000001</v>
      </c>
    </row>
    <row r="40" spans="1:38">
      <c r="A40" s="138"/>
      <c r="B40" s="3" t="s">
        <v>2</v>
      </c>
      <c r="C40" s="3">
        <v>5</v>
      </c>
      <c r="D40" s="4">
        <v>75817</v>
      </c>
      <c r="E40" s="4">
        <f t="shared" si="4"/>
        <v>22934.642499999998</v>
      </c>
      <c r="F40" s="4">
        <f t="shared" si="5"/>
        <v>48162.749250000001</v>
      </c>
      <c r="G40" s="4">
        <f t="shared" si="6"/>
        <v>48.162749249999997</v>
      </c>
      <c r="H40" s="4">
        <f t="shared" si="7"/>
        <v>33713.924475</v>
      </c>
      <c r="I40" s="21">
        <f t="shared" si="8"/>
        <v>33.713924474999999</v>
      </c>
      <c r="J40" s="25"/>
      <c r="K40" s="26"/>
      <c r="L40" s="26"/>
      <c r="M40" s="30"/>
      <c r="N40" s="25"/>
      <c r="O40" s="26"/>
      <c r="P40" s="26"/>
      <c r="Q40" s="39"/>
      <c r="R40" s="25"/>
      <c r="S40" s="26"/>
      <c r="T40" s="26"/>
      <c r="U40" s="39"/>
      <c r="V40" s="25"/>
      <c r="W40" s="26"/>
      <c r="X40" s="26"/>
      <c r="Y40" s="39"/>
      <c r="Z40" s="25"/>
      <c r="AA40" s="26"/>
      <c r="AB40" s="26"/>
      <c r="AC40" s="39"/>
      <c r="AD40" s="25"/>
      <c r="AE40" s="26"/>
      <c r="AF40" s="26"/>
      <c r="AG40" s="39"/>
      <c r="AH40" s="23"/>
      <c r="AI40" s="26"/>
      <c r="AJ40" s="24">
        <f t="shared" si="9"/>
        <v>0</v>
      </c>
      <c r="AK40" s="39"/>
      <c r="AL40" s="79">
        <f t="shared" si="10"/>
        <v>33.713924474999999</v>
      </c>
    </row>
    <row r="41" spans="1:38">
      <c r="A41" s="138" t="s">
        <v>20</v>
      </c>
      <c r="B41" s="3" t="s">
        <v>1</v>
      </c>
      <c r="C41" s="3">
        <v>63</v>
      </c>
      <c r="D41" s="4">
        <v>817452</v>
      </c>
      <c r="E41" s="4">
        <f t="shared" si="4"/>
        <v>247279.22999999998</v>
      </c>
      <c r="F41" s="4">
        <f t="shared" si="5"/>
        <v>519286.38299999997</v>
      </c>
      <c r="G41" s="4">
        <f t="shared" si="6"/>
        <v>519.286383</v>
      </c>
      <c r="H41" s="4">
        <f t="shared" si="7"/>
        <v>363500.46809999994</v>
      </c>
      <c r="I41" s="21">
        <f t="shared" si="8"/>
        <v>363.50046809999992</v>
      </c>
      <c r="J41" s="25"/>
      <c r="K41" s="26"/>
      <c r="L41" s="26">
        <v>450</v>
      </c>
      <c r="M41" s="30"/>
      <c r="N41" s="25"/>
      <c r="O41" s="26"/>
      <c r="P41" s="26"/>
      <c r="Q41" s="39"/>
      <c r="R41" s="25"/>
      <c r="S41" s="26"/>
      <c r="T41" s="26"/>
      <c r="U41" s="39"/>
      <c r="V41" s="25"/>
      <c r="W41" s="26"/>
      <c r="X41" s="26"/>
      <c r="Y41" s="39"/>
      <c r="Z41" s="25"/>
      <c r="AA41" s="26"/>
      <c r="AB41" s="26"/>
      <c r="AC41" s="39"/>
      <c r="AD41" s="25"/>
      <c r="AE41" s="26"/>
      <c r="AF41" s="26"/>
      <c r="AG41" s="39"/>
      <c r="AH41" s="23"/>
      <c r="AI41" s="26"/>
      <c r="AJ41" s="24">
        <f t="shared" si="9"/>
        <v>450</v>
      </c>
      <c r="AK41" s="39"/>
      <c r="AL41" s="79">
        <f t="shared" si="10"/>
        <v>-86.499531900000079</v>
      </c>
    </row>
    <row r="42" spans="1:38" ht="13.5" thickBot="1">
      <c r="A42" s="139"/>
      <c r="B42" s="6" t="s">
        <v>2</v>
      </c>
      <c r="C42" s="6">
        <v>40</v>
      </c>
      <c r="D42" s="7">
        <v>803001</v>
      </c>
      <c r="E42" s="7">
        <f t="shared" si="4"/>
        <v>242907.80249999999</v>
      </c>
      <c r="F42" s="7">
        <f t="shared" si="5"/>
        <v>510106.38524999999</v>
      </c>
      <c r="G42" s="7">
        <f t="shared" si="6"/>
        <v>510.10638525000002</v>
      </c>
      <c r="H42" s="7">
        <f t="shared" si="7"/>
        <v>357074.469675</v>
      </c>
      <c r="I42" s="22">
        <f t="shared" si="8"/>
        <v>357.07446967499999</v>
      </c>
      <c r="J42" s="27"/>
      <c r="K42" s="28"/>
      <c r="L42" s="28"/>
      <c r="M42" s="31"/>
      <c r="N42" s="27"/>
      <c r="O42" s="28"/>
      <c r="P42" s="28"/>
      <c r="Q42" s="41"/>
      <c r="R42" s="27"/>
      <c r="S42" s="28"/>
      <c r="T42" s="28">
        <v>18</v>
      </c>
      <c r="U42" s="41"/>
      <c r="V42" s="27"/>
      <c r="W42" s="28"/>
      <c r="X42" s="28"/>
      <c r="Y42" s="41"/>
      <c r="Z42" s="27"/>
      <c r="AA42" s="28"/>
      <c r="AB42" s="28"/>
      <c r="AC42" s="41"/>
      <c r="AD42" s="27"/>
      <c r="AE42" s="28"/>
      <c r="AF42" s="28"/>
      <c r="AG42" s="41"/>
      <c r="AH42" s="76"/>
      <c r="AI42" s="28"/>
      <c r="AJ42" s="77">
        <f>SUM(AF42,AB42,X42,T42,P42,L42)</f>
        <v>18</v>
      </c>
      <c r="AK42" s="41"/>
      <c r="AL42" s="79">
        <f t="shared" si="10"/>
        <v>339.07446967499999</v>
      </c>
    </row>
    <row r="43" spans="1:38">
      <c r="D43" s="16"/>
      <c r="E43" s="16"/>
      <c r="F43" s="16"/>
      <c r="G43" s="16"/>
      <c r="H43" s="16"/>
      <c r="I43" s="16"/>
      <c r="L43" s="81"/>
      <c r="AJ43" s="80"/>
      <c r="AL43" s="78">
        <f>SUM(AL11:AL42)</f>
        <v>8463.8720494012505</v>
      </c>
    </row>
  </sheetData>
  <mergeCells count="27">
    <mergeCell ref="AH6:AK7"/>
    <mergeCell ref="AD7:AG7"/>
    <mergeCell ref="A3:I3"/>
    <mergeCell ref="A4:I4"/>
    <mergeCell ref="A28:A29"/>
    <mergeCell ref="A30:A31"/>
    <mergeCell ref="R7:U7"/>
    <mergeCell ref="V7:Y7"/>
    <mergeCell ref="Z7:AC7"/>
    <mergeCell ref="J7:M7"/>
    <mergeCell ref="N7:Q7"/>
    <mergeCell ref="J6:AG6"/>
    <mergeCell ref="A41:A42"/>
    <mergeCell ref="A7:B7"/>
    <mergeCell ref="A8:B8"/>
    <mergeCell ref="A9:B9"/>
    <mergeCell ref="A35:A36"/>
    <mergeCell ref="A37:A38"/>
    <mergeCell ref="A39:A40"/>
    <mergeCell ref="A10:I10"/>
    <mergeCell ref="A33:A34"/>
    <mergeCell ref="A11:A12"/>
    <mergeCell ref="A15:A16"/>
    <mergeCell ref="A17:A18"/>
    <mergeCell ref="A22:A23"/>
    <mergeCell ref="A24:A25"/>
    <mergeCell ref="A26:A27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지역별소비량</vt:lpstr>
      <vt:lpstr>요약</vt:lpstr>
      <vt:lpstr>전체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팔당</dc:creator>
  <cp:lastModifiedBy>LG</cp:lastModifiedBy>
  <dcterms:created xsi:type="dcterms:W3CDTF">2013-09-26T02:15:24Z</dcterms:created>
  <dcterms:modified xsi:type="dcterms:W3CDTF">2014-01-13T05:20:29Z</dcterms:modified>
</cp:coreProperties>
</file>