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479" windowHeight="8192" windowWidth="16384" xWindow="0" yWindow="0"/>
  </bookViews>
  <sheets>
    <sheet name="종합" sheetId="1" state="visible" r:id="rId2"/>
    <sheet name="무농약" sheetId="2" state="visible" r:id="rId3"/>
    <sheet name="유기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<sst xmlns="http://schemas.openxmlformats.org/spreadsheetml/2006/main" count="231" uniqueCount="150">
  <si>
    <t>평</t>
  </si>
  <si>
    <t>생산량</t>
  </si>
  <si>
    <t>도정율</t>
  </si>
  <si>
    <r>
      <t xml:space="preserve">2013</t>
    </r>
    <r>
      <rPr>
        <b val="true"/>
        <sz val="12"/>
        <rFont val="돋움"/>
        <family val="3"/>
        <charset val="129"/>
      </rPr>
      <t xml:space="preserve">년</t>
    </r>
    <r>
      <rPr>
        <b val="true"/>
        <sz val="12"/>
        <rFont val="나눔고딕"/>
        <family val="2"/>
      </rPr>
      <t xml:space="preserve"> </t>
    </r>
    <r>
      <rPr>
        <b val="true"/>
        <sz val="12"/>
        <rFont val="돋움"/>
        <family val="3"/>
        <charset val="129"/>
      </rPr>
      <t xml:space="preserve">경기도친환경쌀</t>
    </r>
    <r>
      <rPr>
        <b val="true"/>
        <sz val="12"/>
        <rFont val="나눔고딕"/>
        <family val="2"/>
      </rPr>
      <t xml:space="preserve"> </t>
    </r>
    <r>
      <rPr>
        <b val="true"/>
        <sz val="12"/>
        <rFont val="돋움"/>
        <family val="3"/>
        <charset val="129"/>
      </rPr>
      <t xml:space="preserve">추정</t>
    </r>
    <r>
      <rPr>
        <b val="true"/>
        <sz val="12"/>
        <rFont val="나눔고딕"/>
        <family val="2"/>
      </rPr>
      <t xml:space="preserve"> </t>
    </r>
    <r>
      <rPr>
        <b val="true"/>
        <sz val="12"/>
        <rFont val="돋움"/>
        <family val="3"/>
        <charset val="129"/>
      </rPr>
      <t xml:space="preserve">생산량</t>
    </r>
    <r>
      <rPr>
        <b val="true"/>
        <sz val="12"/>
        <rFont val="Arial"/>
        <family val="2"/>
        <charset val="1"/>
      </rPr>
      <t xml:space="preserve">(2013.9.11</t>
    </r>
    <r>
      <rPr>
        <b val="true"/>
        <sz val="12"/>
        <rFont val="돋움"/>
        <family val="3"/>
        <charset val="129"/>
      </rPr>
      <t xml:space="preserve">현재</t>
    </r>
    <r>
      <rPr>
        <b val="true"/>
        <sz val="12"/>
        <rFont val="Arial"/>
        <family val="2"/>
        <charset val="1"/>
      </rPr>
      <t xml:space="preserve">)</t>
    </r>
  </si>
  <si>
    <r>
      <t xml:space="preserve">* </t>
    </r>
    <r>
      <rPr>
        <b val="true"/>
        <sz val="10"/>
        <rFont val="돋움"/>
        <family val="3"/>
        <charset val="129"/>
      </rPr>
      <t xml:space="preserve">품관원</t>
    </r>
    <r>
      <rPr>
        <b val="true"/>
        <sz val="10"/>
        <rFont val="나눔고딕"/>
        <family val="2"/>
      </rPr>
      <t xml:space="preserve"> </t>
    </r>
    <r>
      <rPr>
        <b val="true"/>
        <sz val="10"/>
        <rFont val="돋움"/>
        <family val="3"/>
        <charset val="129"/>
      </rPr>
      <t xml:space="preserve">친환경인증자료에</t>
    </r>
    <r>
      <rPr>
        <b val="true"/>
        <sz val="10"/>
        <rFont val="나눔고딕"/>
        <family val="2"/>
      </rPr>
      <t xml:space="preserve"> </t>
    </r>
    <r>
      <rPr>
        <b val="true"/>
        <sz val="10"/>
        <rFont val="돋움"/>
        <family val="3"/>
        <charset val="129"/>
      </rPr>
      <t xml:space="preserve">근거
</t>
    </r>
    <r>
      <rPr>
        <b val="true"/>
        <sz val="10"/>
        <rFont val="Arial"/>
        <family val="2"/>
        <charset val="1"/>
      </rPr>
      <t xml:space="preserve">* </t>
    </r>
    <r>
      <rPr>
        <b val="true"/>
        <sz val="10"/>
        <rFont val="돋움"/>
        <family val="3"/>
        <charset val="129"/>
      </rPr>
      <t xml:space="preserve">평당</t>
    </r>
    <r>
      <rPr>
        <b val="true"/>
        <sz val="10"/>
        <rFont val="나눔고딕"/>
        <family val="2"/>
      </rPr>
      <t xml:space="preserve"> </t>
    </r>
    <r>
      <rPr>
        <b val="true"/>
        <sz val="10"/>
        <rFont val="Arial"/>
        <family val="2"/>
        <charset val="1"/>
      </rPr>
      <t xml:space="preserve">2.1Kg, </t>
    </r>
    <r>
      <rPr>
        <b val="true"/>
        <sz val="10"/>
        <rFont val="돋움"/>
        <family val="3"/>
        <charset val="129"/>
      </rPr>
      <t xml:space="preserve">도정율</t>
    </r>
    <r>
      <rPr>
        <b val="true"/>
        <sz val="10"/>
        <rFont val="나눔고딕"/>
        <family val="2"/>
      </rPr>
      <t xml:space="preserve"> </t>
    </r>
    <r>
      <rPr>
        <b val="true"/>
        <sz val="10"/>
        <rFont val="Arial"/>
        <family val="2"/>
        <charset val="1"/>
      </rPr>
      <t xml:space="preserve">70% </t>
    </r>
  </si>
  <si>
    <t>시군</t>
  </si>
  <si>
    <t>인증종류</t>
  </si>
  <si>
    <t>인원</t>
  </si>
  <si>
    <r>
      <t xml:space="preserve">면적</t>
    </r>
    <r>
      <rPr>
        <b val="true"/>
        <sz val="10"/>
        <rFont val="Arial"/>
        <family val="2"/>
        <charset val="1"/>
      </rPr>
      <t xml:space="preserve">(</t>
    </r>
    <r>
      <rPr>
        <b val="true"/>
        <sz val="10"/>
        <rFont val="돋움"/>
        <family val="3"/>
        <charset val="129"/>
      </rPr>
      <t xml:space="preserve">㎡</t>
    </r>
    <r>
      <rPr>
        <b val="true"/>
        <sz val="10"/>
        <rFont val="Arial"/>
        <family val="2"/>
        <charset val="1"/>
      </rPr>
      <t xml:space="preserve">)</t>
    </r>
  </si>
  <si>
    <r>
      <t xml:space="preserve">면적</t>
    </r>
    <r>
      <rPr>
        <b val="true"/>
        <sz val="10"/>
        <rFont val="Arial"/>
        <family val="2"/>
        <charset val="1"/>
      </rPr>
      <t xml:space="preserve">(</t>
    </r>
    <r>
      <rPr>
        <b val="true"/>
        <sz val="10"/>
        <rFont val="돋움"/>
        <family val="3"/>
        <charset val="129"/>
      </rPr>
      <t xml:space="preserve">평</t>
    </r>
    <r>
      <rPr>
        <b val="true"/>
        <sz val="10"/>
        <rFont val="Arial"/>
        <family val="2"/>
        <charset val="1"/>
      </rPr>
      <t xml:space="preserve">)</t>
    </r>
  </si>
  <si>
    <t>조곡생산량(kg)</t>
  </si>
  <si>
    <t>조곡(ton)</t>
  </si>
  <si>
    <t>쌀생산량(kg)</t>
  </si>
  <si>
    <t>쌀(ton)</t>
  </si>
  <si>
    <r>
      <t xml:space="preserve">2014</t>
    </r>
    <r>
      <rPr>
        <sz val="10"/>
        <rFont val="돋움"/>
        <family val="3"/>
        <charset val="129"/>
      </rPr>
      <t xml:space="preserve">년</t>
    </r>
    <r>
      <rPr>
        <sz val="10"/>
        <rFont val="나눔고딕"/>
        <family val="2"/>
      </rPr>
      <t xml:space="preserve"> </t>
    </r>
    <r>
      <rPr>
        <sz val="10"/>
        <rFont val="돋움"/>
        <family val="3"/>
        <charset val="129"/>
      </rPr>
      <t xml:space="preserve">소비예상</t>
    </r>
    <r>
      <rPr>
        <sz val="10"/>
        <rFont val="나눔고딕"/>
        <family val="2"/>
      </rPr>
      <t xml:space="preserve"> </t>
    </r>
    <r>
      <rPr>
        <sz val="10"/>
        <rFont val="돋움"/>
        <family val="3"/>
        <charset val="129"/>
      </rPr>
      <t xml:space="preserve">수량</t>
    </r>
  </si>
  <si>
    <t>총계</t>
  </si>
  <si>
    <r>
      <t xml:space="preserve">안양</t>
    </r>
    <r>
      <rPr>
        <sz val="10"/>
        <rFont val="Arial"/>
        <family val="2"/>
        <charset val="1"/>
      </rPr>
      <t xml:space="preserve">.</t>
    </r>
    <r>
      <rPr>
        <sz val="10"/>
        <rFont val="돋움"/>
        <family val="3"/>
        <charset val="129"/>
      </rPr>
      <t xml:space="preserve">군포</t>
    </r>
    <r>
      <rPr>
        <sz val="10"/>
        <rFont val="Arial"/>
        <family val="2"/>
        <charset val="1"/>
      </rPr>
      <t xml:space="preserve">.</t>
    </r>
    <r>
      <rPr>
        <sz val="10"/>
        <rFont val="돋움"/>
        <family val="3"/>
        <charset val="129"/>
      </rPr>
      <t xml:space="preserve">의왕</t>
    </r>
  </si>
  <si>
    <t>하남시</t>
  </si>
  <si>
    <t>무농약</t>
  </si>
  <si>
    <r>
      <t xml:space="preserve">학교수
</t>
    </r>
    <r>
      <rPr>
        <sz val="10"/>
        <rFont val="Arial"/>
        <family val="2"/>
        <charset val="1"/>
      </rPr>
      <t xml:space="preserve">(</t>
    </r>
    <r>
      <rPr>
        <sz val="10"/>
        <rFont val="돋움"/>
        <family val="3"/>
        <charset val="129"/>
      </rPr>
      <t xml:space="preserve">초</t>
    </r>
    <r>
      <rPr>
        <sz val="10"/>
        <rFont val="Arial"/>
        <family val="2"/>
        <charset val="1"/>
      </rPr>
      <t xml:space="preserve">,</t>
    </r>
    <r>
      <rPr>
        <sz val="10"/>
        <rFont val="돋움"/>
        <family val="3"/>
        <charset val="129"/>
      </rPr>
      <t xml:space="preserve">중</t>
    </r>
    <r>
      <rPr>
        <sz val="10"/>
        <rFont val="Arial"/>
        <family val="2"/>
        <charset val="1"/>
      </rPr>
      <t xml:space="preserve">)</t>
    </r>
  </si>
  <si>
    <t>학생수</t>
  </si>
  <si>
    <t>예상소비량
총계</t>
  </si>
  <si>
    <t>비고</t>
  </si>
  <si>
    <t>유기</t>
  </si>
  <si>
    <t>가평군 </t>
  </si>
  <si>
    <t>고양시 </t>
  </si>
  <si>
    <t>광주시 </t>
  </si>
  <si>
    <t>김포시 </t>
  </si>
  <si>
    <t>남양주시 </t>
  </si>
  <si>
    <t>부천시 </t>
  </si>
  <si>
    <t>성남시 </t>
  </si>
  <si>
    <t>수원시 </t>
  </si>
  <si>
    <t>안성시 </t>
  </si>
  <si>
    <t>양평군 </t>
  </si>
  <si>
    <t>안양유치원포함(7,697명)</t>
  </si>
  <si>
    <t>여주군 </t>
  </si>
  <si>
    <t>연천군 </t>
  </si>
  <si>
    <t>용인시 </t>
  </si>
  <si>
    <t>의왕시 </t>
  </si>
  <si>
    <t>이천시 </t>
  </si>
  <si>
    <t>파주시 </t>
  </si>
  <si>
    <t>평택시 </t>
  </si>
  <si>
    <t>포천시 </t>
  </si>
  <si>
    <t>화성시 </t>
  </si>
  <si>
    <t>경기도 시군별 무농약쌀 생산량(2013.9.11현재)</t>
  </si>
  <si>
    <t>읍면</t>
  </si>
  <si>
    <t>면적(㎡)</t>
  </si>
  <si>
    <t>면적(평)</t>
  </si>
  <si>
    <t>합계</t>
  </si>
  <si>
    <t>가평군</t>
  </si>
  <si>
    <t>소계</t>
  </si>
  <si>
    <t>가평읍</t>
  </si>
  <si>
    <t>북면</t>
  </si>
  <si>
    <t>설악면</t>
  </si>
  <si>
    <t>청평면</t>
  </si>
  <si>
    <t>하면</t>
  </si>
  <si>
    <t>고양시</t>
  </si>
  <si>
    <t>덕양구 관산동</t>
  </si>
  <si>
    <t>일산동구 장항동</t>
  </si>
  <si>
    <t>일산서구 가좌동</t>
  </si>
  <si>
    <t>일산서구 구산동</t>
  </si>
  <si>
    <t>일산서구 대화동</t>
  </si>
  <si>
    <t>일산서구 덕이동</t>
  </si>
  <si>
    <t>광주시</t>
  </si>
  <si>
    <t>곤지암읍</t>
  </si>
  <si>
    <t>남종면</t>
  </si>
  <si>
    <t>도척면</t>
  </si>
  <si>
    <t>오포읍</t>
  </si>
  <si>
    <t>장지동</t>
  </si>
  <si>
    <t>중부면</t>
  </si>
  <si>
    <t>초월읍</t>
  </si>
  <si>
    <t>김포시</t>
  </si>
  <si>
    <t>고촌읍</t>
  </si>
  <si>
    <t>대곶면</t>
  </si>
  <si>
    <t>장기동</t>
  </si>
  <si>
    <t>하성면</t>
  </si>
  <si>
    <t>남양주시</t>
  </si>
  <si>
    <t>수동면</t>
  </si>
  <si>
    <t>와부읍</t>
  </si>
  <si>
    <t>조안면</t>
  </si>
  <si>
    <t>부천시</t>
  </si>
  <si>
    <t>오정구 오정동</t>
  </si>
  <si>
    <t>성남시</t>
  </si>
  <si>
    <t>분당구 운중동</t>
  </si>
  <si>
    <t>안성시</t>
  </si>
  <si>
    <t>가사동</t>
  </si>
  <si>
    <t>고삼면</t>
  </si>
  <si>
    <t>원곡면</t>
  </si>
  <si>
    <t>양평군</t>
  </si>
  <si>
    <t>강상면</t>
  </si>
  <si>
    <t>강하면</t>
  </si>
  <si>
    <t>개군면</t>
  </si>
  <si>
    <t>단월면</t>
  </si>
  <si>
    <t>서종면</t>
  </si>
  <si>
    <t>양동면</t>
  </si>
  <si>
    <t>양서면</t>
  </si>
  <si>
    <t>양평읍</t>
  </si>
  <si>
    <t>옥천면</t>
  </si>
  <si>
    <t>용문면</t>
  </si>
  <si>
    <t>지평면</t>
  </si>
  <si>
    <t>청운면</t>
  </si>
  <si>
    <t>여주군</t>
  </si>
  <si>
    <t>가남면</t>
  </si>
  <si>
    <t>강천면</t>
  </si>
  <si>
    <t>금사면</t>
  </si>
  <si>
    <t>능서면</t>
  </si>
  <si>
    <t>대신면</t>
  </si>
  <si>
    <t>여주읍</t>
  </si>
  <si>
    <t>점동면</t>
  </si>
  <si>
    <t>흥천면</t>
  </si>
  <si>
    <t>연천군</t>
  </si>
  <si>
    <t>군남면</t>
  </si>
  <si>
    <t>미산면</t>
  </si>
  <si>
    <t>백학면</t>
  </si>
  <si>
    <t>연천읍</t>
  </si>
  <si>
    <t>전곡읍</t>
  </si>
  <si>
    <t>청산면</t>
  </si>
  <si>
    <t>용인시</t>
  </si>
  <si>
    <t>처인구 이동면</t>
  </si>
  <si>
    <t>의왕시</t>
  </si>
  <si>
    <t>월암동</t>
  </si>
  <si>
    <t>초평동</t>
  </si>
  <si>
    <t>이천시</t>
  </si>
  <si>
    <t>대월면</t>
  </si>
  <si>
    <t>마장면</t>
  </si>
  <si>
    <t>부발읍</t>
  </si>
  <si>
    <t>율면</t>
  </si>
  <si>
    <t>율현동</t>
  </si>
  <si>
    <t>장호원읍</t>
  </si>
  <si>
    <t>파주시</t>
  </si>
  <si>
    <t>군내면</t>
  </si>
  <si>
    <t>문산읍</t>
  </si>
  <si>
    <t>연다산동</t>
  </si>
  <si>
    <t>적성면</t>
  </si>
  <si>
    <t>탄현면</t>
  </si>
  <si>
    <t>파평면</t>
  </si>
  <si>
    <t>평택시</t>
  </si>
  <si>
    <t>오성면</t>
  </si>
  <si>
    <t>팽성읍</t>
  </si>
  <si>
    <t>포천시</t>
  </si>
  <si>
    <t>관인면</t>
  </si>
  <si>
    <t>화성시</t>
  </si>
  <si>
    <t>봉담읍</t>
  </si>
  <si>
    <t>양감면</t>
  </si>
  <si>
    <t>우정읍</t>
  </si>
  <si>
    <t>정남면</t>
  </si>
  <si>
    <t>향남읍</t>
  </si>
  <si>
    <t>산출식</t>
  </si>
  <si>
    <t>평당 생산량</t>
  </si>
  <si>
    <t>경기도 시군별 유기쌀 생산량(2013.9.11현재)</t>
  </si>
</sst>
</file>

<file path=xl/styles.xml><?xml version="1.0" encoding="utf-8"?>
<styleSheet xmlns="http://schemas.openxmlformats.org/spreadsheetml/2006/main">
  <numFmts count="6">
    <numFmt formatCode="GENERAL" numFmtId="164"/>
    <numFmt formatCode="0_);[RED]\(0\)" numFmtId="165"/>
    <numFmt formatCode="_-* #,##0_-;\-* #,##0_-;_-* \-_-;_-@_-" numFmtId="166"/>
    <numFmt formatCode="#,##0_ " numFmtId="167"/>
    <numFmt formatCode="0%" numFmtId="168"/>
    <numFmt formatCode="#,##0_);[RED]\(#,##0\)" numFmtId="169"/>
  </numFmts>
  <fonts count="17">
    <font>
      <sz val="1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b val="true"/>
      <sz val="12"/>
      <name val="Arial"/>
      <family val="2"/>
      <charset val="1"/>
    </font>
    <font>
      <b val="true"/>
      <sz val="12"/>
      <name val="돋움"/>
      <family val="3"/>
      <charset val="129"/>
    </font>
    <font>
      <b val="true"/>
      <sz val="12"/>
      <name val="나눔고딕"/>
      <family val="2"/>
    </font>
    <font>
      <b val="true"/>
      <sz val="10"/>
      <name val="Arial"/>
      <family val="2"/>
      <charset val="1"/>
    </font>
    <font>
      <b val="true"/>
      <sz val="10"/>
      <name val="돋움"/>
      <family val="3"/>
      <charset val="129"/>
    </font>
    <font>
      <b val="true"/>
      <sz val="10"/>
      <name val="나눔고딕"/>
      <family val="2"/>
    </font>
    <font>
      <b val="true"/>
      <sz val="10"/>
      <color rgb="FF000000"/>
      <name val="맑은 고딕"/>
      <family val="3"/>
      <charset val="129"/>
    </font>
    <font>
      <sz val="10"/>
      <name val="Arial"/>
      <family val="2"/>
      <charset val="1"/>
    </font>
    <font>
      <b val="true"/>
      <sz val="14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 val="true"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00FF00"/>
        <bgColor rgb="FF66FF33"/>
      </patternFill>
    </fill>
    <fill>
      <patternFill patternType="solid">
        <fgColor rgb="FFFFFF00"/>
        <bgColor rgb="FFFFFF00"/>
      </patternFill>
    </fill>
    <fill>
      <patternFill patternType="solid">
        <fgColor rgb="FF66FF33"/>
        <bgColor rgb="FF00FF00"/>
      </patternFill>
    </fill>
  </fills>
  <borders count="36">
    <border diagonalDown="false" diagonalUp="false">
      <left/>
      <right/>
      <top/>
      <bottom/>
      <diagonal/>
    </border>
    <border diagonalDown="false" diagonalUp="false">
      <left style="medium"/>
      <right style="thin"/>
      <top style="medium"/>
      <bottom style="medium"/>
      <diagonal/>
    </border>
    <border diagonalDown="false" diagonalUp="false">
      <left style="thin"/>
      <right style="thin"/>
      <top style="medium"/>
      <bottom style="medium"/>
      <diagonal/>
    </border>
    <border diagonalDown="false" diagonalUp="false">
      <left style="thin"/>
      <right/>
      <top style="medium"/>
      <bottom style="medium"/>
      <diagonal/>
    </border>
    <border diagonalDown="false" diagonalUp="false">
      <left style="medium"/>
      <right style="medium"/>
      <top style="medium"/>
      <bottom style="medium"/>
      <diagonal/>
    </border>
    <border diagonalDown="false" diagonalUp="false">
      <left style="medium"/>
      <right style="thin"/>
      <top style="medium"/>
      <bottom style="thin"/>
      <diagonal/>
    </border>
    <border diagonalDown="false" diagonalUp="false">
      <left style="thin"/>
      <right style="thin"/>
      <top style="medium"/>
      <bottom style="thin"/>
      <diagonal/>
    </border>
    <border diagonalDown="false" diagonalUp="false">
      <left style="thin"/>
      <right/>
      <top style="medium"/>
      <bottom style="thin"/>
      <diagonal/>
    </border>
    <border diagonalDown="false" diagonalUp="false">
      <left style="medium"/>
      <right style="thin"/>
      <top style="thin"/>
      <bottom style="thin"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/>
      <top style="thin"/>
      <bottom style="thin"/>
      <diagonal/>
    </border>
    <border diagonalDown="false" diagonalUp="false">
      <left/>
      <right style="medium"/>
      <top style="medium"/>
      <bottom style="thin"/>
      <diagonal/>
    </border>
    <border diagonalDown="false" diagonalUp="false">
      <left style="medium"/>
      <right style="thin"/>
      <top style="thin"/>
      <bottom style="medium"/>
      <diagonal/>
    </border>
    <border diagonalDown="false" diagonalUp="false">
      <left style="thin"/>
      <right style="thin"/>
      <top style="thin"/>
      <bottom style="medium"/>
      <diagonal/>
    </border>
    <border diagonalDown="false" diagonalUp="false">
      <left style="thin"/>
      <right/>
      <top style="thin"/>
      <bottom style="medium"/>
      <diagonal/>
    </border>
    <border diagonalDown="false" diagonalUp="false">
      <left style="medium"/>
      <right style="thin"/>
      <top/>
      <bottom style="medium"/>
      <diagonal/>
    </border>
    <border diagonalDown="false" diagonalUp="false">
      <left style="thin"/>
      <right style="thin"/>
      <top/>
      <bottom style="medium"/>
      <diagonal/>
    </border>
    <border diagonalDown="false" diagonalUp="false">
      <left/>
      <right/>
      <top/>
      <bottom style="medium"/>
      <diagonal/>
    </border>
    <border diagonalDown="false" diagonalUp="false">
      <left/>
      <right style="medium"/>
      <top/>
      <bottom style="medium"/>
      <diagonal/>
    </border>
    <border diagonalDown="false" diagonalUp="false">
      <left style="medium"/>
      <right style="thin"/>
      <top/>
      <bottom style="thin"/>
      <diagonal/>
    </border>
    <border diagonalDown="false" diagonalUp="false">
      <left style="thin"/>
      <right style="thin"/>
      <top/>
      <bottom style="thin"/>
      <diagonal/>
    </border>
    <border diagonalDown="false" diagonalUp="false">
      <left style="thin"/>
      <right/>
      <top/>
      <bottom style="thin"/>
      <diagonal/>
    </border>
    <border diagonalDown="false" diagonalUp="false">
      <left/>
      <right/>
      <top/>
      <bottom style="thin"/>
      <diagonal/>
    </border>
    <border diagonalDown="false" diagonalUp="false">
      <left/>
      <right style="medium"/>
      <top/>
      <bottom style="thin"/>
      <diagonal/>
    </border>
    <border diagonalDown="false" diagonalUp="false">
      <left/>
      <right/>
      <top style="thin"/>
      <bottom style="thin"/>
      <diagonal/>
    </border>
    <border diagonalDown="false" diagonalUp="false">
      <left/>
      <right style="medium"/>
      <top style="thin"/>
      <bottom style="thin"/>
      <diagonal/>
    </border>
    <border diagonalDown="false" diagonalUp="false">
      <left/>
      <right/>
      <top style="thin"/>
      <bottom style="medium"/>
      <diagonal/>
    </border>
    <border diagonalDown="false" diagonalUp="false">
      <left/>
      <right style="medium"/>
      <top style="thin"/>
      <bottom style="medium"/>
      <diagonal/>
    </border>
    <border diagonalDown="false" diagonalUp="false">
      <left style="medium"/>
      <right style="thin"/>
      <top style="medium"/>
      <bottom/>
      <diagonal/>
    </border>
    <border diagonalDown="false" diagonalUp="false">
      <left style="thin"/>
      <right style="thin"/>
      <top style="medium"/>
      <bottom/>
      <diagonal/>
    </border>
    <border diagonalDown="false" diagonalUp="false">
      <left style="thin"/>
      <right style="medium"/>
      <top style="medium"/>
      <bottom/>
      <diagonal/>
    </border>
    <border diagonalDown="false" diagonalUp="false">
      <left style="thin"/>
      <right style="medium"/>
      <top style="medium"/>
      <bottom style="medium"/>
      <diagonal/>
    </border>
    <border diagonalDown="false" diagonalUp="false">
      <left style="thin"/>
      <right style="medium"/>
      <top style="medium"/>
      <bottom style="thin"/>
      <diagonal/>
    </border>
    <border diagonalDown="false" diagonalUp="false">
      <left style="thin"/>
      <right style="medium"/>
      <top style="thin"/>
      <bottom style="thin"/>
      <diagonal/>
    </border>
    <border diagonalDown="false" diagonalUp="false">
      <left style="thin"/>
      <right style="medium"/>
      <top style="thin"/>
      <bottom style="medium"/>
      <diagonal/>
    </border>
    <border diagonalDown="false" diagonalUp="false">
      <left style="thin"/>
      <right style="medium"/>
      <top/>
      <bottom style="thin"/>
      <diagonal/>
    </border>
  </borders>
  <cellStyleXfs count="21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true" applyBorder="true" applyFont="true" applyProtection="true" borderId="0" fillId="0" fontId="0" numFmtId="166">
      <alignment horizontal="general" indent="0" shrinkToFit="false" textRotation="0" vertical="bottom" wrapText="false"/>
      <protection hidden="false" locked="true"/>
    </xf>
  </cellStyleXfs>
  <cellXfs count="97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4" xfId="0">
      <alignment horizontal="general" indent="0" shrinkToFit="false" textRotation="0" vertical="center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0" fillId="0" fontId="5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0" fillId="0" fontId="8" numFmtId="164" xfId="0">
      <alignment horizontal="left" indent="0" shrinkToFit="false" textRotation="0" vertical="center" wrapText="true"/>
      <protection hidden="false" locked="true"/>
    </xf>
    <xf applyAlignment="true" applyBorder="true" applyFont="true" applyProtection="false" borderId="1" fillId="0" fontId="11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9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11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0" fontId="11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4" fillId="0" fontId="12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5" fillId="2" fontId="11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2" fontId="8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7" fillId="2" fontId="8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4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4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8" fillId="3" fontId="11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9" fillId="3" fontId="8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10" fillId="3" fontId="8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5" fillId="0" fontId="4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6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6" fillId="0" fontId="4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1" fillId="0" fontId="4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2" fillId="4" fontId="11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13" fillId="4" fontId="8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14" fillId="4" fontId="8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15" fillId="0" fontId="12" numFmtId="166" xfId="20">
      <alignment horizontal="general" indent="0" shrinkToFit="false" textRotation="0" vertical="center" wrapText="true"/>
      <protection hidden="false" locked="true"/>
    </xf>
    <xf applyAlignment="true" applyBorder="true" applyFont="true" applyProtection="true" borderId="16" fillId="0" fontId="4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16" fillId="0" fontId="12" numFmtId="166" xfId="2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17" fillId="0" fontId="0" numFmtId="166" xfId="2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18" fillId="0" fontId="0" numFmtId="166" xfId="2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9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0" fillId="0" fontId="0" numFmtId="164" xfId="0">
      <alignment horizontal="general" indent="0" shrinkToFit="false" textRotation="0" vertical="center" wrapText="false"/>
      <protection hidden="false" locked="true"/>
    </xf>
    <xf applyAlignment="true" applyBorder="true" applyFont="false" applyProtection="false" borderId="20" fillId="0" fontId="12" numFmtId="167" xfId="0">
      <alignment horizontal="general" indent="0" shrinkToFit="false" textRotation="0" vertical="center" wrapText="false"/>
      <protection hidden="false" locked="true"/>
    </xf>
    <xf applyAlignment="true" applyBorder="true" applyFont="false" applyProtection="false" borderId="21" fillId="0" fontId="12" numFmtId="167" xfId="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19" fillId="0" fontId="0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20" fillId="0" fontId="0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6" fillId="0" fontId="12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22" fillId="0" fontId="0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23" fillId="0" fontId="0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9" fillId="0" fontId="0" numFmtId="164" xfId="0">
      <alignment horizontal="general" indent="0" shrinkToFit="false" textRotation="0" vertical="center" wrapText="false"/>
      <protection hidden="false" locked="true"/>
    </xf>
    <xf applyAlignment="true" applyBorder="true" applyFont="false" applyProtection="false" borderId="9" fillId="0" fontId="12" numFmtId="167" xfId="0">
      <alignment horizontal="general" indent="0" shrinkToFit="false" textRotation="0" vertical="center" wrapText="false"/>
      <protection hidden="false" locked="true"/>
    </xf>
    <xf applyAlignment="true" applyBorder="true" applyFont="false" applyProtection="false" borderId="10" fillId="0" fontId="12" numFmtId="167" xfId="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8" fillId="0" fontId="0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9" fillId="0" fontId="0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24" fillId="0" fontId="0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25" fillId="0" fontId="0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8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9" fillId="0" fontId="12" numFmtId="166" xfId="20">
      <alignment horizontal="general" indent="0" shrinkToFit="false" textRotation="0" vertical="center" wrapText="true"/>
      <protection hidden="false" locked="true"/>
    </xf>
    <xf applyAlignment="true" applyBorder="true" applyFont="true" applyProtection="true" borderId="24" fillId="0" fontId="4" numFmtId="166" xfId="20">
      <alignment horizontal="general" indent="0" shrinkToFit="false" textRotation="0" vertical="center" wrapText="true"/>
      <protection hidden="false" locked="true"/>
    </xf>
    <xf applyAlignment="true" applyBorder="true" applyFont="true" applyProtection="true" borderId="25" fillId="0" fontId="4" numFmtId="166" xfId="20">
      <alignment horizontal="general" indent="0" shrinkToFit="false" textRotation="0" vertical="center" wrapText="true"/>
      <protection hidden="false" locked="true"/>
    </xf>
    <xf applyAlignment="true" applyBorder="true" applyFont="true" applyProtection="false" borderId="12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3" fillId="0" fontId="0" numFmtId="164" xfId="0">
      <alignment horizontal="general" indent="0" shrinkToFit="false" textRotation="0" vertical="center" wrapText="false"/>
      <protection hidden="false" locked="true"/>
    </xf>
    <xf applyAlignment="true" applyBorder="true" applyFont="false" applyProtection="false" borderId="13" fillId="0" fontId="12" numFmtId="167" xfId="0">
      <alignment horizontal="general" indent="0" shrinkToFit="false" textRotation="0" vertical="center" wrapText="false"/>
      <protection hidden="false" locked="true"/>
    </xf>
    <xf applyAlignment="true" applyBorder="true" applyFont="false" applyProtection="false" borderId="14" fillId="0" fontId="12" numFmtId="167" xfId="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12" fillId="0" fontId="0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13" fillId="0" fontId="0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26" fillId="0" fontId="0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27" fillId="0" fontId="0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0" fillId="0" fontId="13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8" fillId="0" fontId="11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9" fillId="0" fontId="11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9" fillId="0" fontId="11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0" fillId="0" fontId="11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1" fillId="5" fontId="11" numFmtId="166" xfId="2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2" fillId="5" fontId="11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31" fillId="5" fontId="11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6" fillId="4" fontId="11" numFmtId="164" xfId="0">
      <alignment horizontal="left" indent="0" shrinkToFit="false" textRotation="0" vertical="center" wrapText="false"/>
      <protection hidden="false" locked="true"/>
    </xf>
    <xf applyAlignment="true" applyBorder="true" applyFont="true" applyProtection="true" borderId="6" fillId="4" fontId="11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32" fillId="4" fontId="11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9" fillId="0" fontId="14" numFmtId="164" xfId="0">
      <alignment horizontal="left" indent="0" shrinkToFit="false" textRotation="0" vertical="center" wrapText="false"/>
      <protection hidden="false" locked="true"/>
    </xf>
    <xf applyAlignment="true" applyBorder="true" applyFont="true" applyProtection="true" borderId="9" fillId="0" fontId="14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33" fillId="0" fontId="14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13" fillId="0" fontId="14" numFmtId="164" xfId="0">
      <alignment horizontal="left" indent="0" shrinkToFit="false" textRotation="0" vertical="center" wrapText="false"/>
      <protection hidden="false" locked="true"/>
    </xf>
    <xf applyAlignment="true" applyBorder="true" applyFont="true" applyProtection="true" borderId="13" fillId="0" fontId="14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34" fillId="0" fontId="14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6" fillId="4" fontId="11" numFmtId="166" xfId="2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32" fillId="4" fontId="11" numFmtId="166" xfId="20">
      <alignment horizontal="center" indent="0" shrinkToFit="false" textRotation="0" vertical="center" wrapText="false"/>
      <protection hidden="false" locked="true"/>
    </xf>
    <xf applyAlignment="true" applyBorder="false" applyFont="false" applyProtection="false" borderId="0" fillId="0" fontId="0" numFmtId="164" xfId="0">
      <alignment horizontal="left" indent="0" shrinkToFit="false" textRotation="0" vertical="center" wrapText="false"/>
      <protection hidden="false" locked="true"/>
    </xf>
    <xf applyAlignment="true" applyBorder="false" applyFont="false" applyProtection="false" borderId="0" fillId="0" fontId="12" numFmtId="168" xfId="0">
      <alignment horizontal="left" indent="0" shrinkToFit="false" textRotation="0" vertical="center" wrapText="false"/>
      <protection hidden="false" locked="true"/>
    </xf>
    <xf applyAlignment="true" applyBorder="true" applyFont="true" applyProtection="false" borderId="17" fillId="0" fontId="13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5" fillId="0" fontId="15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6" fillId="0" fontId="15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2" fillId="0" fontId="15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2" fillId="4" fontId="15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3" fillId="4" fontId="15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3" fillId="4" fontId="15" numFmtId="169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4" fillId="4" fontId="15" numFmtId="169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9" fillId="0" fontId="1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20" fillId="0" fontId="16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35" fillId="0" fontId="16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8" fillId="0" fontId="1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9" fillId="0" fontId="16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33" fillId="0" fontId="16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12" fillId="0" fontId="1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13" fillId="0" fontId="16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16" fillId="0" fontId="16" numFmtId="166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34" fillId="0" fontId="16" numFmtId="166" xfId="20">
      <alignment horizontal="general" indent="0" shrinkToFit="false" textRotation="0" vertical="center" wrapText="false"/>
      <protection hidden="false" locked="true"/>
    </xf>
  </cellXfs>
  <cellStyles count="7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4" customBuiltin="true" name="Excel Built-in Comma [0]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66FF3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1"/>
  <sheetViews>
    <sheetView colorId="64" defaultGridColor="true" rightToLeft="false" showFormulas="false" showGridLines="true" showOutlineSymbols="true" showRowColHeaders="true" showZeros="true" tabSelected="true" topLeftCell="A3" view="normal" windowProtection="false" workbookViewId="0" zoomScale="100" zoomScaleNormal="100" zoomScalePageLayoutView="100">
      <selection activeCell="M4" activeCellId="0" pane="topLeft" sqref="M4"/>
    </sheetView>
  </sheetViews>
  <sheetFormatPr defaultRowHeight="12.75"/>
  <cols>
    <col collapsed="false" hidden="false" max="2" min="1" style="0" width="8.4131455399061"/>
    <col collapsed="false" hidden="false" max="3" min="3" style="0" width="8.54460093896714"/>
    <col collapsed="false" hidden="true" max="4" min="4" style="0" width="0"/>
    <col collapsed="false" hidden="false" max="5" min="5" style="0" width="10.2535211267606"/>
    <col collapsed="false" hidden="true" max="6" min="6" style="0" width="0"/>
    <col collapsed="false" hidden="false" max="7" min="7" style="0" width="8.67136150234742"/>
    <col collapsed="false" hidden="true" max="8" min="8" style="0" width="0"/>
    <col collapsed="false" hidden="false" max="9" min="9" style="0" width="8.67136150234742"/>
    <col collapsed="false" hidden="false" max="11" min="10" style="0" width="8.4131455399061"/>
    <col collapsed="false" hidden="false" max="12" min="12" style="0" width="10.2535211267606"/>
    <col collapsed="false" hidden="false" max="13" min="13" style="0" width="16.0328638497653"/>
    <col collapsed="false" hidden="false" max="15" min="14" style="0" width="8.4131455399061"/>
    <col collapsed="false" hidden="false" max="16" min="16" style="0" width="10.2535211267606"/>
    <col collapsed="false" hidden="false" max="17" min="17" style="0" width="18.0093896713615"/>
    <col collapsed="false" hidden="false" max="30" min="18" style="1" width="8.4131455399061"/>
  </cols>
  <sheetData>
    <row collapsed="false" customFormat="false" customHeight="false" hidden="true" ht="12.75" outlineLevel="0" r="1">
      <c r="A1" s="2" t="s">
        <v>0</v>
      </c>
      <c r="B1" s="2" t="s">
        <v>1</v>
      </c>
      <c r="C1" s="2" t="s">
        <v>2</v>
      </c>
    </row>
    <row collapsed="false" customFormat="false" customHeight="false" hidden="true" ht="12.75" outlineLevel="0" r="2">
      <c r="A2" s="1" t="n">
        <v>0.3025</v>
      </c>
      <c r="B2" s="1" t="n">
        <v>2.1</v>
      </c>
      <c r="C2" s="1" t="n">
        <v>0.7</v>
      </c>
    </row>
    <row collapsed="false" customFormat="false" customHeight="true" hidden="false" ht="21.75" outlineLevel="0" r="3">
      <c r="A3" s="3" t="s">
        <v>3</v>
      </c>
      <c r="B3" s="3"/>
      <c r="C3" s="3"/>
      <c r="D3" s="3"/>
      <c r="E3" s="3"/>
      <c r="F3" s="3"/>
      <c r="G3" s="3"/>
      <c r="H3" s="3"/>
      <c r="I3" s="3"/>
    </row>
    <row collapsed="false" customFormat="false" customHeight="true" hidden="false" ht="27" outlineLevel="0" r="4">
      <c r="A4" s="4" t="s">
        <v>4</v>
      </c>
      <c r="B4" s="4"/>
      <c r="C4" s="4"/>
      <c r="D4" s="4"/>
      <c r="E4" s="4"/>
      <c r="F4" s="4"/>
      <c r="G4" s="4"/>
      <c r="H4" s="4"/>
      <c r="I4" s="4"/>
    </row>
    <row collapsed="false" customFormat="false" customHeight="false" hidden="false" ht="13.5" outlineLevel="0" r="5"/>
    <row collapsed="false" customFormat="false" customHeight="false" hidden="false" ht="14.25" outlineLevel="0"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7" t="s">
        <v>10</v>
      </c>
      <c r="G6" s="7" t="s">
        <v>11</v>
      </c>
      <c r="H6" s="7" t="s">
        <v>12</v>
      </c>
      <c r="I6" s="8" t="s">
        <v>13</v>
      </c>
      <c r="J6" s="9" t="s">
        <v>14</v>
      </c>
      <c r="K6" s="9"/>
      <c r="L6" s="9"/>
      <c r="M6" s="9"/>
      <c r="N6" s="9"/>
      <c r="O6" s="9"/>
      <c r="P6" s="9"/>
      <c r="Q6" s="9"/>
    </row>
    <row collapsed="false" customFormat="false" customHeight="false" hidden="false" ht="12.65" outlineLevel="0" r="7">
      <c r="A7" s="10" t="s">
        <v>15</v>
      </c>
      <c r="B7" s="10"/>
      <c r="C7" s="11" t="n">
        <f aca="false">SUM(C10:C41)</f>
        <v>2774</v>
      </c>
      <c r="D7" s="11" t="n">
        <f aca="false">SUM(D10:D41)</f>
        <v>25542263.15</v>
      </c>
      <c r="E7" s="11" t="n">
        <f aca="false">SUM(E10:E41)</f>
        <v>7726534.602875</v>
      </c>
      <c r="F7" s="11" t="n">
        <f aca="false">SUM(F10:F41)</f>
        <v>16225722.6660375</v>
      </c>
      <c r="G7" s="11" t="n">
        <f aca="false">SUM(G10:G41)</f>
        <v>16225.7226660375</v>
      </c>
      <c r="H7" s="11" t="n">
        <f aca="false">SUM(H10:H41)</f>
        <v>11358005.8662263</v>
      </c>
      <c r="I7" s="12" t="n">
        <f aca="false">SUM(I10:I41)</f>
        <v>11358.0058662263</v>
      </c>
      <c r="J7" s="13" t="s">
        <v>16</v>
      </c>
      <c r="K7" s="13"/>
      <c r="L7" s="13"/>
      <c r="M7" s="13"/>
      <c r="N7" s="14" t="s">
        <v>17</v>
      </c>
      <c r="O7" s="14"/>
      <c r="P7" s="14"/>
      <c r="Q7" s="14"/>
    </row>
    <row collapsed="false" customFormat="false" customHeight="true" hidden="false" ht="33" outlineLevel="0" r="8">
      <c r="A8" s="15" t="s">
        <v>18</v>
      </c>
      <c r="B8" s="15"/>
      <c r="C8" s="16" t="n">
        <f aca="false">SUM(C10,C12,C13,C14,C16,C18,C19,C21,C23,C25,C27,C29,C31,C32,C34,C36,C38,C40)</f>
        <v>2051</v>
      </c>
      <c r="D8" s="16" t="n">
        <f aca="false">SUM(D10,D12,D13,D14,D16,D18,D19,D21,D23,D25,D27,D29,D31,D32,D34,D36,D38,D40)</f>
        <v>17788811.95</v>
      </c>
      <c r="E8" s="16" t="n">
        <f aca="false">SUM(E10,E12,E13,E14,E16,E18,E19,E21,E23,E25,E27,E29,E31,E32,E34,E36,E38,E40)</f>
        <v>5381115.614875</v>
      </c>
      <c r="F8" s="16" t="n">
        <f aca="false">SUM(F10,F12,F13,F14,F16,F18,F19,F21,F23,F25,F27,F29,F31,F32,F34,F36,F38,F40)</f>
        <v>11300342.7912375</v>
      </c>
      <c r="G8" s="16" t="n">
        <f aca="false">SUM(G10,G12,G13,G14,G16,G18,G19,G21,G23,G25,G27,G29,G31,G32,G34,G36,G38,G40)</f>
        <v>11300.3427912375</v>
      </c>
      <c r="H8" s="16" t="n">
        <f aca="false">SUM(H10,H12,H13,H14,H16,H18,H19,H21,H23,H25,H27,H29,H31,H32,H34,H36,H38,H40)</f>
        <v>7910239.95386625</v>
      </c>
      <c r="I8" s="17" t="n">
        <f aca="false">SUM(I10,I12,I13,I14,I16,I18,I19,I21,I23,I25,I27,I29,I31,I32,I34,I36,I38,I40)</f>
        <v>7910.23995386625</v>
      </c>
      <c r="J8" s="18" t="s">
        <v>19</v>
      </c>
      <c r="K8" s="19" t="s">
        <v>20</v>
      </c>
      <c r="L8" s="20" t="s">
        <v>21</v>
      </c>
      <c r="M8" s="21" t="s">
        <v>22</v>
      </c>
      <c r="N8" s="18" t="s">
        <v>19</v>
      </c>
      <c r="O8" s="19" t="s">
        <v>20</v>
      </c>
      <c r="P8" s="20" t="s">
        <v>21</v>
      </c>
      <c r="Q8" s="21" t="s">
        <v>22</v>
      </c>
    </row>
    <row collapsed="false" customFormat="false" customHeight="false" hidden="false" ht="14.25" outlineLevel="0" r="9">
      <c r="A9" s="22" t="s">
        <v>23</v>
      </c>
      <c r="B9" s="22"/>
      <c r="C9" s="23" t="n">
        <f aca="false">SUM(C11,C15,C17,C20,C22,C24,C26,C28,C30,C33,C35,C37,C39,C41)</f>
        <v>723</v>
      </c>
      <c r="D9" s="23" t="n">
        <f aca="false">SUM(D11,D15,D17,D20,D22,D24,D26,D28,D30,D33,D35,D37,D39,D41)</f>
        <v>7753451.2</v>
      </c>
      <c r="E9" s="23" t="n">
        <f aca="false">SUM(E11,E15,E17,E20,E22,E24,E26,E28,E30,E33,E35,E37,E39,E41)</f>
        <v>2345418.988</v>
      </c>
      <c r="F9" s="23" t="n">
        <f aca="false">SUM(F11,F15,F17,F20,F22,F24,F26,F28,F30,F33,F35,F37,F39,F41)</f>
        <v>4925379.8748</v>
      </c>
      <c r="G9" s="23" t="n">
        <f aca="false">SUM(G11,G15,G17,G20,G22,G24,G26,G28,G30,G33,G35,G37,G39,G41)</f>
        <v>4925.3798748</v>
      </c>
      <c r="H9" s="23" t="n">
        <f aca="false">SUM(H11,H15,H17,H20,H22,H24,H26,H28,H30,H33,H35,H37,H39,H41)</f>
        <v>3447765.91236</v>
      </c>
      <c r="I9" s="24" t="n">
        <f aca="false">SUM(I11,I15,I17,I20,I22,I24,I26,I28,I30,I33,I35,I37,I39,I41)</f>
        <v>3447.76591236</v>
      </c>
      <c r="J9" s="25" t="n">
        <v>123</v>
      </c>
      <c r="K9" s="26" t="n">
        <v>65049</v>
      </c>
      <c r="L9" s="27" t="n">
        <f aca="false">SUM(L10:L41)</f>
        <v>1747</v>
      </c>
      <c r="M9" s="28"/>
      <c r="N9" s="25"/>
      <c r="O9" s="26"/>
      <c r="P9" s="27" t="n">
        <f aca="false">SUM(P10:P41)</f>
        <v>0</v>
      </c>
      <c r="Q9" s="29"/>
    </row>
    <row collapsed="false" customFormat="false" customHeight="false" hidden="false" ht="12.75" outlineLevel="0" r="10">
      <c r="A10" s="30" t="s">
        <v>24</v>
      </c>
      <c r="B10" s="31" t="s">
        <v>18</v>
      </c>
      <c r="C10" s="31" t="n">
        <v>260</v>
      </c>
      <c r="D10" s="32" t="n">
        <v>1835316.32</v>
      </c>
      <c r="E10" s="32" t="n">
        <f aca="false">D10*$A$2</f>
        <v>555183.1868</v>
      </c>
      <c r="F10" s="32" t="n">
        <f aca="false">E10*$B$2</f>
        <v>1165884.69228</v>
      </c>
      <c r="G10" s="32" t="n">
        <f aca="false">F10/1000</f>
        <v>1165.88469228</v>
      </c>
      <c r="H10" s="32" t="n">
        <f aca="false">F10*$C$2</f>
        <v>816119.284596</v>
      </c>
      <c r="I10" s="33" t="n">
        <f aca="false">H10/1000</f>
        <v>816.119284596</v>
      </c>
      <c r="J10" s="34"/>
      <c r="K10" s="35"/>
      <c r="L10" s="36" t="n">
        <v>500</v>
      </c>
      <c r="M10" s="37"/>
      <c r="N10" s="34"/>
      <c r="O10" s="35"/>
      <c r="P10" s="36"/>
      <c r="Q10" s="38"/>
    </row>
    <row collapsed="false" customFormat="false" customHeight="false" hidden="false" ht="12.75" outlineLevel="0" r="11">
      <c r="A11" s="30"/>
      <c r="B11" s="39" t="s">
        <v>23</v>
      </c>
      <c r="C11" s="39" t="n">
        <v>3</v>
      </c>
      <c r="D11" s="40" t="n">
        <v>27368</v>
      </c>
      <c r="E11" s="40" t="n">
        <f aca="false">D11*$A$2</f>
        <v>8278.82</v>
      </c>
      <c r="F11" s="40" t="n">
        <f aca="false">E11*$B$2</f>
        <v>17385.522</v>
      </c>
      <c r="G11" s="40" t="n">
        <f aca="false">F11/1000</f>
        <v>17.385522</v>
      </c>
      <c r="H11" s="40" t="n">
        <f aca="false">F11*$C$2</f>
        <v>12169.8654</v>
      </c>
      <c r="I11" s="41" t="n">
        <f aca="false">H11/1000</f>
        <v>12.1698654</v>
      </c>
      <c r="J11" s="42"/>
      <c r="K11" s="43"/>
      <c r="L11" s="43"/>
      <c r="M11" s="44"/>
      <c r="N11" s="42"/>
      <c r="O11" s="43"/>
      <c r="P11" s="43"/>
      <c r="Q11" s="45"/>
    </row>
    <row collapsed="false" customFormat="false" customHeight="false" hidden="false" ht="12.75" outlineLevel="0" r="12">
      <c r="A12" s="46" t="s">
        <v>25</v>
      </c>
      <c r="B12" s="39" t="s">
        <v>18</v>
      </c>
      <c r="C12" s="39" t="n">
        <v>20</v>
      </c>
      <c r="D12" s="40" t="n">
        <v>149057</v>
      </c>
      <c r="E12" s="40" t="n">
        <f aca="false">D12*$A$2</f>
        <v>45089.7425</v>
      </c>
      <c r="F12" s="40" t="n">
        <f aca="false">E12*$B$2</f>
        <v>94688.45925</v>
      </c>
      <c r="G12" s="40" t="n">
        <f aca="false">F12/1000</f>
        <v>94.68845925</v>
      </c>
      <c r="H12" s="40" t="n">
        <f aca="false">F12*$C$2</f>
        <v>66281.921475</v>
      </c>
      <c r="I12" s="41" t="n">
        <f aca="false">H12/1000</f>
        <v>66.281921475</v>
      </c>
      <c r="J12" s="42"/>
      <c r="K12" s="43"/>
      <c r="L12" s="43"/>
      <c r="M12" s="44"/>
      <c r="N12" s="42"/>
      <c r="O12" s="43"/>
      <c r="P12" s="43"/>
      <c r="Q12" s="45"/>
    </row>
    <row collapsed="false" customFormat="false" customHeight="false" hidden="false" ht="12.75" outlineLevel="0" r="13">
      <c r="A13" s="46" t="s">
        <v>26</v>
      </c>
      <c r="B13" s="39" t="s">
        <v>18</v>
      </c>
      <c r="C13" s="39" t="n">
        <v>171</v>
      </c>
      <c r="D13" s="40" t="n">
        <v>1255059</v>
      </c>
      <c r="E13" s="40" t="n">
        <f aca="false">D13*$A$2</f>
        <v>379655.3475</v>
      </c>
      <c r="F13" s="40" t="n">
        <f aca="false">E13*$B$2</f>
        <v>797276.22975</v>
      </c>
      <c r="G13" s="40" t="n">
        <f aca="false">F13/1000</f>
        <v>797.27622975</v>
      </c>
      <c r="H13" s="40" t="n">
        <f aca="false">F13*$C$2</f>
        <v>558093.360825</v>
      </c>
      <c r="I13" s="41" t="n">
        <f aca="false">H13/1000</f>
        <v>558.093360825</v>
      </c>
      <c r="J13" s="42"/>
      <c r="K13" s="43"/>
      <c r="L13" s="43"/>
      <c r="M13" s="44"/>
      <c r="N13" s="42"/>
      <c r="O13" s="43"/>
      <c r="P13" s="43"/>
      <c r="Q13" s="45"/>
    </row>
    <row collapsed="false" customFormat="false" customHeight="false" hidden="false" ht="12.75" outlineLevel="0" r="14">
      <c r="A14" s="46" t="s">
        <v>27</v>
      </c>
      <c r="B14" s="39" t="s">
        <v>18</v>
      </c>
      <c r="C14" s="39" t="n">
        <v>45</v>
      </c>
      <c r="D14" s="40" t="n">
        <v>1033092</v>
      </c>
      <c r="E14" s="40" t="n">
        <f aca="false">D14*$A$2</f>
        <v>312510.33</v>
      </c>
      <c r="F14" s="40" t="n">
        <f aca="false">E14*$B$2</f>
        <v>656271.693</v>
      </c>
      <c r="G14" s="40" t="n">
        <f aca="false">F14/1000</f>
        <v>656.271693</v>
      </c>
      <c r="H14" s="40" t="n">
        <f aca="false">F14*$C$2</f>
        <v>459390.1851</v>
      </c>
      <c r="I14" s="41" t="n">
        <f aca="false">H14/1000</f>
        <v>459.3901851</v>
      </c>
      <c r="J14" s="42"/>
      <c r="K14" s="43"/>
      <c r="L14" s="43"/>
      <c r="M14" s="44"/>
      <c r="N14" s="42"/>
      <c r="O14" s="43"/>
      <c r="P14" s="43"/>
      <c r="Q14" s="45"/>
    </row>
    <row collapsed="false" customFormat="false" customHeight="false" hidden="false" ht="12.75" outlineLevel="0" r="15">
      <c r="A15" s="46"/>
      <c r="B15" s="39" t="s">
        <v>23</v>
      </c>
      <c r="C15" s="39" t="n">
        <v>6</v>
      </c>
      <c r="D15" s="40" t="n">
        <v>79132</v>
      </c>
      <c r="E15" s="40" t="n">
        <f aca="false">D15*$A$2</f>
        <v>23937.43</v>
      </c>
      <c r="F15" s="40" t="n">
        <f aca="false">E15*$B$2</f>
        <v>50268.603</v>
      </c>
      <c r="G15" s="40" t="n">
        <f aca="false">F15/1000</f>
        <v>50.268603</v>
      </c>
      <c r="H15" s="40" t="n">
        <f aca="false">F15*$C$2</f>
        <v>35188.0221</v>
      </c>
      <c r="I15" s="41" t="n">
        <f aca="false">H15/1000</f>
        <v>35.1880221</v>
      </c>
      <c r="J15" s="42"/>
      <c r="K15" s="43"/>
      <c r="L15" s="43"/>
      <c r="M15" s="44"/>
      <c r="N15" s="42"/>
      <c r="O15" s="43"/>
      <c r="P15" s="43"/>
      <c r="Q15" s="45"/>
    </row>
    <row collapsed="false" customFormat="false" customHeight="false" hidden="false" ht="12.75" outlineLevel="0" r="16">
      <c r="A16" s="46" t="s">
        <v>28</v>
      </c>
      <c r="B16" s="39" t="s">
        <v>18</v>
      </c>
      <c r="C16" s="39" t="n">
        <v>97</v>
      </c>
      <c r="D16" s="40" t="n">
        <v>470726.5</v>
      </c>
      <c r="E16" s="40" t="n">
        <f aca="false">D16*$A$2</f>
        <v>142394.76625</v>
      </c>
      <c r="F16" s="40" t="n">
        <f aca="false">E16*$B$2</f>
        <v>299029.009125</v>
      </c>
      <c r="G16" s="40" t="n">
        <f aca="false">F16/1000</f>
        <v>299.029009125</v>
      </c>
      <c r="H16" s="40" t="n">
        <f aca="false">F16*$C$2</f>
        <v>209320.3063875</v>
      </c>
      <c r="I16" s="41" t="n">
        <f aca="false">H16/1000</f>
        <v>209.3203063875</v>
      </c>
      <c r="J16" s="42"/>
      <c r="K16" s="43"/>
      <c r="L16" s="43"/>
      <c r="M16" s="44"/>
      <c r="N16" s="42"/>
      <c r="O16" s="43"/>
      <c r="P16" s="43"/>
      <c r="Q16" s="45"/>
    </row>
    <row collapsed="false" customFormat="false" customHeight="false" hidden="false" ht="12.75" outlineLevel="0" r="17">
      <c r="A17" s="46"/>
      <c r="B17" s="39" t="s">
        <v>23</v>
      </c>
      <c r="C17" s="39" t="n">
        <v>15</v>
      </c>
      <c r="D17" s="40" t="n">
        <v>97251</v>
      </c>
      <c r="E17" s="40" t="n">
        <f aca="false">D17*$A$2</f>
        <v>29418.4275</v>
      </c>
      <c r="F17" s="40" t="n">
        <f aca="false">E17*$B$2</f>
        <v>61778.69775</v>
      </c>
      <c r="G17" s="40" t="n">
        <f aca="false">F17/1000</f>
        <v>61.77869775</v>
      </c>
      <c r="H17" s="40" t="n">
        <f aca="false">F17*$C$2</f>
        <v>43245.088425</v>
      </c>
      <c r="I17" s="41" t="n">
        <f aca="false">H17/1000</f>
        <v>43.245088425</v>
      </c>
      <c r="J17" s="42"/>
      <c r="K17" s="43"/>
      <c r="L17" s="43"/>
      <c r="M17" s="44"/>
      <c r="N17" s="42"/>
      <c r="O17" s="43"/>
      <c r="P17" s="43"/>
      <c r="Q17" s="45"/>
    </row>
    <row collapsed="false" customFormat="false" customHeight="false" hidden="false" ht="12.75" outlineLevel="0" r="18">
      <c r="A18" s="46" t="s">
        <v>29</v>
      </c>
      <c r="B18" s="39" t="s">
        <v>18</v>
      </c>
      <c r="C18" s="39" t="n">
        <v>71</v>
      </c>
      <c r="D18" s="40" t="n">
        <v>201266</v>
      </c>
      <c r="E18" s="40" t="n">
        <f aca="false">D18*$A$2</f>
        <v>60882.965</v>
      </c>
      <c r="F18" s="40" t="n">
        <f aca="false">E18*$B$2</f>
        <v>127854.2265</v>
      </c>
      <c r="G18" s="40" t="n">
        <f aca="false">F18/1000</f>
        <v>127.8542265</v>
      </c>
      <c r="H18" s="40" t="n">
        <f aca="false">F18*$C$2</f>
        <v>89497.95855</v>
      </c>
      <c r="I18" s="41" t="n">
        <f aca="false">H18/1000</f>
        <v>89.49795855</v>
      </c>
      <c r="J18" s="42"/>
      <c r="K18" s="43"/>
      <c r="L18" s="43"/>
      <c r="M18" s="44"/>
      <c r="N18" s="42"/>
      <c r="O18" s="43"/>
      <c r="P18" s="43"/>
      <c r="Q18" s="45"/>
    </row>
    <row collapsed="false" customFormat="false" customHeight="false" hidden="false" ht="12.75" outlineLevel="0" r="19">
      <c r="A19" s="46" t="s">
        <v>30</v>
      </c>
      <c r="B19" s="39" t="s">
        <v>18</v>
      </c>
      <c r="C19" s="39" t="n">
        <v>1</v>
      </c>
      <c r="D19" s="40" t="n">
        <v>31722</v>
      </c>
      <c r="E19" s="40" t="n">
        <f aca="false">D19*$A$2</f>
        <v>9595.905</v>
      </c>
      <c r="F19" s="40" t="n">
        <f aca="false">E19*$B$2</f>
        <v>20151.4005</v>
      </c>
      <c r="G19" s="40" t="n">
        <f aca="false">F19/1000</f>
        <v>20.1514005</v>
      </c>
      <c r="H19" s="40" t="n">
        <f aca="false">F19*$C$2</f>
        <v>14105.98035</v>
      </c>
      <c r="I19" s="41" t="n">
        <f aca="false">H19/1000</f>
        <v>14.10598035</v>
      </c>
      <c r="J19" s="42"/>
      <c r="K19" s="43"/>
      <c r="L19" s="43"/>
      <c r="M19" s="44"/>
      <c r="N19" s="42"/>
      <c r="O19" s="43"/>
      <c r="P19" s="43"/>
      <c r="Q19" s="45"/>
    </row>
    <row collapsed="false" customFormat="false" customHeight="false" hidden="false" ht="12.75" outlineLevel="0" r="20">
      <c r="A20" s="46" t="s">
        <v>31</v>
      </c>
      <c r="B20" s="39" t="s">
        <v>23</v>
      </c>
      <c r="C20" s="39" t="n">
        <v>5</v>
      </c>
      <c r="D20" s="40" t="n">
        <v>42579</v>
      </c>
      <c r="E20" s="40" t="n">
        <f aca="false">D20*$A$2</f>
        <v>12880.1475</v>
      </c>
      <c r="F20" s="40" t="n">
        <f aca="false">E20*$B$2</f>
        <v>27048.30975</v>
      </c>
      <c r="G20" s="40" t="n">
        <f aca="false">F20/1000</f>
        <v>27.04830975</v>
      </c>
      <c r="H20" s="40" t="n">
        <f aca="false">F20*$C$2</f>
        <v>18933.816825</v>
      </c>
      <c r="I20" s="41" t="n">
        <f aca="false">H20/1000</f>
        <v>18.933816825</v>
      </c>
      <c r="J20" s="42"/>
      <c r="K20" s="43"/>
      <c r="L20" s="43"/>
      <c r="M20" s="44"/>
      <c r="N20" s="42"/>
      <c r="O20" s="43"/>
      <c r="P20" s="43"/>
      <c r="Q20" s="45"/>
    </row>
    <row collapsed="false" customFormat="false" customHeight="false" hidden="false" ht="12.75" outlineLevel="0" r="21">
      <c r="A21" s="46" t="s">
        <v>32</v>
      </c>
      <c r="B21" s="39" t="s">
        <v>18</v>
      </c>
      <c r="C21" s="39" t="n">
        <v>68</v>
      </c>
      <c r="D21" s="40" t="n">
        <v>572153.53</v>
      </c>
      <c r="E21" s="40" t="n">
        <f aca="false">D21*$A$2</f>
        <v>173076.442825</v>
      </c>
      <c r="F21" s="40" t="n">
        <f aca="false">E21*$B$2</f>
        <v>363460.5299325</v>
      </c>
      <c r="G21" s="40" t="n">
        <f aca="false">F21/1000</f>
        <v>363.4605299325</v>
      </c>
      <c r="H21" s="40" t="n">
        <f aca="false">F21*$C$2</f>
        <v>254422.37095275</v>
      </c>
      <c r="I21" s="41" t="n">
        <f aca="false">H21/1000</f>
        <v>254.42237095275</v>
      </c>
      <c r="J21" s="42"/>
      <c r="K21" s="43"/>
      <c r="L21" s="43"/>
      <c r="M21" s="44"/>
      <c r="N21" s="42"/>
      <c r="O21" s="43"/>
      <c r="P21" s="43"/>
      <c r="Q21" s="45"/>
    </row>
    <row collapsed="false" customFormat="false" customHeight="false" hidden="false" ht="12.75" outlineLevel="0" r="22">
      <c r="A22" s="46"/>
      <c r="B22" s="39" t="s">
        <v>23</v>
      </c>
      <c r="C22" s="39" t="n">
        <v>93</v>
      </c>
      <c r="D22" s="40" t="n">
        <v>780737.1</v>
      </c>
      <c r="E22" s="40" t="n">
        <f aca="false">D22*$A$2</f>
        <v>236172.97275</v>
      </c>
      <c r="F22" s="40" t="n">
        <f aca="false">E22*$B$2</f>
        <v>495963.242775</v>
      </c>
      <c r="G22" s="40" t="n">
        <f aca="false">F22/1000</f>
        <v>495.963242775</v>
      </c>
      <c r="H22" s="40" t="n">
        <f aca="false">F22*$C$2</f>
        <v>347174.2699425</v>
      </c>
      <c r="I22" s="41" t="n">
        <f aca="false">H22/1000</f>
        <v>347.1742699425</v>
      </c>
      <c r="J22" s="42"/>
      <c r="K22" s="43"/>
      <c r="L22" s="43"/>
      <c r="M22" s="44"/>
      <c r="N22" s="42"/>
      <c r="O22" s="43"/>
      <c r="P22" s="43"/>
      <c r="Q22" s="45"/>
    </row>
    <row collapsed="false" customFormat="false" customHeight="false" hidden="false" ht="24" outlineLevel="0" r="23">
      <c r="A23" s="46" t="s">
        <v>33</v>
      </c>
      <c r="B23" s="39" t="s">
        <v>18</v>
      </c>
      <c r="C23" s="39" t="n">
        <v>729</v>
      </c>
      <c r="D23" s="40" t="n">
        <v>4697268.1</v>
      </c>
      <c r="E23" s="40" t="n">
        <f aca="false">D23*$A$2</f>
        <v>1420923.60025</v>
      </c>
      <c r="F23" s="40" t="n">
        <f aca="false">E23*$B$2</f>
        <v>2983939.560525</v>
      </c>
      <c r="G23" s="40" t="n">
        <f aca="false">F23/1000</f>
        <v>2983.939560525</v>
      </c>
      <c r="H23" s="40" t="n">
        <f aca="false">F23*$C$2</f>
        <v>2088757.6923675</v>
      </c>
      <c r="I23" s="41" t="n">
        <f aca="false">H23/1000</f>
        <v>2088.7576923675</v>
      </c>
      <c r="J23" s="42"/>
      <c r="K23" s="43"/>
      <c r="L23" s="47" t="n">
        <v>750</v>
      </c>
      <c r="M23" s="48" t="s">
        <v>34</v>
      </c>
      <c r="N23" s="42"/>
      <c r="O23" s="43"/>
      <c r="P23" s="47"/>
      <c r="Q23" s="49"/>
    </row>
    <row collapsed="false" customFormat="false" customHeight="false" hidden="false" ht="12.75" outlineLevel="0" r="24">
      <c r="A24" s="46"/>
      <c r="B24" s="39" t="s">
        <v>23</v>
      </c>
      <c r="C24" s="39" t="n">
        <v>256</v>
      </c>
      <c r="D24" s="40" t="n">
        <v>2065851.3</v>
      </c>
      <c r="E24" s="40" t="n">
        <f aca="false">D24*$A$2</f>
        <v>624920.01825</v>
      </c>
      <c r="F24" s="40" t="n">
        <f aca="false">E24*$B$2</f>
        <v>1312332.038325</v>
      </c>
      <c r="G24" s="40" t="n">
        <f aca="false">F24/1000</f>
        <v>1312.332038325</v>
      </c>
      <c r="H24" s="40" t="n">
        <f aca="false">F24*$C$2</f>
        <v>918632.4268275</v>
      </c>
      <c r="I24" s="41" t="n">
        <f aca="false">H24/1000</f>
        <v>918.6324268275</v>
      </c>
      <c r="J24" s="42"/>
      <c r="K24" s="43"/>
      <c r="L24" s="43"/>
      <c r="M24" s="44"/>
      <c r="N24" s="42"/>
      <c r="O24" s="43"/>
      <c r="P24" s="43"/>
      <c r="Q24" s="45"/>
    </row>
    <row collapsed="false" customFormat="false" customHeight="false" hidden="false" ht="12.75" outlineLevel="0" r="25">
      <c r="A25" s="46" t="s">
        <v>35</v>
      </c>
      <c r="B25" s="39" t="s">
        <v>18</v>
      </c>
      <c r="C25" s="39" t="n">
        <v>120</v>
      </c>
      <c r="D25" s="40" t="n">
        <v>1532686.2</v>
      </c>
      <c r="E25" s="40" t="n">
        <f aca="false">D25*$A$2</f>
        <v>463637.5755</v>
      </c>
      <c r="F25" s="40" t="n">
        <f aca="false">E25*$B$2</f>
        <v>973638.90855</v>
      </c>
      <c r="G25" s="40" t="n">
        <f aca="false">F25/1000</f>
        <v>973.63890855</v>
      </c>
      <c r="H25" s="40" t="n">
        <f aca="false">F25*$C$2</f>
        <v>681547.235985</v>
      </c>
      <c r="I25" s="41" t="n">
        <f aca="false">H25/1000</f>
        <v>681.547235985</v>
      </c>
      <c r="J25" s="42"/>
      <c r="K25" s="43"/>
      <c r="L25" s="43"/>
      <c r="M25" s="44"/>
      <c r="N25" s="42"/>
      <c r="O25" s="43"/>
      <c r="P25" s="43"/>
      <c r="Q25" s="45"/>
    </row>
    <row collapsed="false" customFormat="false" customHeight="false" hidden="false" ht="12.75" outlineLevel="0" r="26">
      <c r="A26" s="46"/>
      <c r="B26" s="39" t="s">
        <v>23</v>
      </c>
      <c r="C26" s="39" t="n">
        <v>88</v>
      </c>
      <c r="D26" s="40" t="n">
        <v>1075890.2</v>
      </c>
      <c r="E26" s="40" t="n">
        <f aca="false">D26*$A$2</f>
        <v>325456.7855</v>
      </c>
      <c r="F26" s="40" t="n">
        <f aca="false">E26*$B$2</f>
        <v>683459.24955</v>
      </c>
      <c r="G26" s="40" t="n">
        <f aca="false">F26/1000</f>
        <v>683.45924955</v>
      </c>
      <c r="H26" s="40" t="n">
        <f aca="false">F26*$C$2</f>
        <v>478421.474685</v>
      </c>
      <c r="I26" s="41" t="n">
        <f aca="false">H26/1000</f>
        <v>478.421474685</v>
      </c>
      <c r="J26" s="42"/>
      <c r="K26" s="43"/>
      <c r="L26" s="43"/>
      <c r="M26" s="44"/>
      <c r="N26" s="42"/>
      <c r="O26" s="43"/>
      <c r="P26" s="43"/>
      <c r="Q26" s="45"/>
    </row>
    <row collapsed="false" customFormat="false" customHeight="false" hidden="false" ht="12.1" outlineLevel="0" r="27">
      <c r="A27" s="46" t="s">
        <v>36</v>
      </c>
      <c r="B27" s="39" t="s">
        <v>18</v>
      </c>
      <c r="C27" s="39" t="n">
        <v>96</v>
      </c>
      <c r="D27" s="40" t="n">
        <v>1370772.8</v>
      </c>
      <c r="E27" s="40" t="n">
        <f aca="false">D27*$A$2</f>
        <v>414658.772</v>
      </c>
      <c r="F27" s="40" t="n">
        <f aca="false">E27*$B$2</f>
        <v>870783.4212</v>
      </c>
      <c r="G27" s="40" t="n">
        <f aca="false">F27/1000</f>
        <v>870.7834212</v>
      </c>
      <c r="H27" s="40" t="n">
        <f aca="false">F27*$C$2</f>
        <v>609548.39484</v>
      </c>
      <c r="I27" s="41" t="n">
        <f aca="false">H27/1000</f>
        <v>609.54839484</v>
      </c>
      <c r="J27" s="42"/>
      <c r="K27" s="43"/>
      <c r="L27" s="43"/>
      <c r="M27" s="44"/>
      <c r="N27" s="42"/>
      <c r="O27" s="43"/>
      <c r="P27" s="43"/>
      <c r="Q27" s="45"/>
    </row>
    <row collapsed="false" customFormat="false" customHeight="false" hidden="false" ht="12.75" outlineLevel="0" r="28">
      <c r="A28" s="46"/>
      <c r="B28" s="39" t="s">
        <v>23</v>
      </c>
      <c r="C28" s="39" t="n">
        <v>2</v>
      </c>
      <c r="D28" s="40" t="n">
        <v>20840</v>
      </c>
      <c r="E28" s="40" t="n">
        <f aca="false">D28*$A$2</f>
        <v>6304.1</v>
      </c>
      <c r="F28" s="40" t="n">
        <f aca="false">E28*$B$2</f>
        <v>13238.61</v>
      </c>
      <c r="G28" s="40" t="n">
        <f aca="false">F28/1000</f>
        <v>13.23861</v>
      </c>
      <c r="H28" s="40" t="n">
        <f aca="false">F28*$C$2</f>
        <v>9267.027</v>
      </c>
      <c r="I28" s="41" t="n">
        <f aca="false">H28/1000</f>
        <v>9.267027</v>
      </c>
      <c r="J28" s="42"/>
      <c r="K28" s="43"/>
      <c r="L28" s="43"/>
      <c r="M28" s="44"/>
      <c r="N28" s="42"/>
      <c r="O28" s="43"/>
      <c r="P28" s="43"/>
      <c r="Q28" s="45"/>
    </row>
    <row collapsed="false" customFormat="false" customHeight="false" hidden="false" ht="12.75" outlineLevel="0" r="29">
      <c r="A29" s="46" t="s">
        <v>37</v>
      </c>
      <c r="B29" s="39" t="s">
        <v>18</v>
      </c>
      <c r="C29" s="39" t="n">
        <v>29</v>
      </c>
      <c r="D29" s="40" t="n">
        <v>155629</v>
      </c>
      <c r="E29" s="40" t="n">
        <f aca="false">D29*$A$2</f>
        <v>47077.7725</v>
      </c>
      <c r="F29" s="40" t="n">
        <f aca="false">E29*$B$2</f>
        <v>98863.32225</v>
      </c>
      <c r="G29" s="40" t="n">
        <f aca="false">F29/1000</f>
        <v>98.86332225</v>
      </c>
      <c r="H29" s="40" t="n">
        <f aca="false">F29*$C$2</f>
        <v>69204.325575</v>
      </c>
      <c r="I29" s="41" t="n">
        <f aca="false">H29/1000</f>
        <v>69.204325575</v>
      </c>
      <c r="J29" s="42"/>
      <c r="K29" s="43"/>
      <c r="L29" s="43"/>
      <c r="M29" s="44"/>
      <c r="N29" s="42"/>
      <c r="O29" s="43"/>
      <c r="P29" s="43"/>
      <c r="Q29" s="45"/>
    </row>
    <row collapsed="false" customFormat="false" customHeight="false" hidden="false" ht="12.75" outlineLevel="0" r="30">
      <c r="A30" s="46"/>
      <c r="B30" s="39" t="s">
        <v>23</v>
      </c>
      <c r="C30" s="39" t="n">
        <v>165</v>
      </c>
      <c r="D30" s="40" t="n">
        <v>1806880.9</v>
      </c>
      <c r="E30" s="40" t="n">
        <f aca="false">D30*$A$2</f>
        <v>546581.47225</v>
      </c>
      <c r="F30" s="40" t="n">
        <f aca="false">E30*$B$2</f>
        <v>1147821.091725</v>
      </c>
      <c r="G30" s="40" t="n">
        <f aca="false">F30/1000</f>
        <v>1147.821091725</v>
      </c>
      <c r="H30" s="40" t="n">
        <f aca="false">F30*$C$2</f>
        <v>803474.7642075</v>
      </c>
      <c r="I30" s="41" t="n">
        <f aca="false">H30/1000</f>
        <v>803.4747642075</v>
      </c>
      <c r="J30" s="42"/>
      <c r="K30" s="43"/>
      <c r="L30" s="43"/>
      <c r="M30" s="44"/>
      <c r="N30" s="42"/>
      <c r="O30" s="43"/>
      <c r="P30" s="43"/>
      <c r="Q30" s="45"/>
    </row>
    <row collapsed="false" customFormat="false" customHeight="false" hidden="false" ht="12.75" outlineLevel="0" r="31">
      <c r="A31" s="46" t="s">
        <v>38</v>
      </c>
      <c r="B31" s="39" t="s">
        <v>18</v>
      </c>
      <c r="C31" s="39" t="n">
        <v>14</v>
      </c>
      <c r="D31" s="40" t="n">
        <v>104675</v>
      </c>
      <c r="E31" s="40" t="n">
        <f aca="false">D31*$A$2</f>
        <v>31664.1875</v>
      </c>
      <c r="F31" s="40" t="n">
        <f aca="false">E31*$B$2</f>
        <v>66494.79375</v>
      </c>
      <c r="G31" s="40" t="n">
        <f aca="false">F31/1000</f>
        <v>66.49479375</v>
      </c>
      <c r="H31" s="40" t="n">
        <f aca="false">F31*$C$2</f>
        <v>46546.355625</v>
      </c>
      <c r="I31" s="41" t="n">
        <f aca="false">H31/1000</f>
        <v>46.546355625</v>
      </c>
      <c r="J31" s="42"/>
      <c r="K31" s="43"/>
      <c r="L31" s="43" t="n">
        <v>47</v>
      </c>
      <c r="M31" s="44"/>
      <c r="N31" s="42"/>
      <c r="O31" s="43"/>
      <c r="P31" s="43"/>
      <c r="Q31" s="45"/>
    </row>
    <row collapsed="false" customFormat="false" customHeight="false" hidden="false" ht="12.75" outlineLevel="0" r="32">
      <c r="A32" s="46" t="s">
        <v>39</v>
      </c>
      <c r="B32" s="39" t="s">
        <v>18</v>
      </c>
      <c r="C32" s="39" t="n">
        <v>114</v>
      </c>
      <c r="D32" s="40" t="n">
        <v>865759.6</v>
      </c>
      <c r="E32" s="40" t="n">
        <f aca="false">D32*$A$2</f>
        <v>261892.279</v>
      </c>
      <c r="F32" s="40" t="n">
        <f aca="false">E32*$B$2</f>
        <v>549973.7859</v>
      </c>
      <c r="G32" s="40" t="n">
        <f aca="false">F32/1000</f>
        <v>549.9737859</v>
      </c>
      <c r="H32" s="40" t="n">
        <f aca="false">F32*$C$2</f>
        <v>384981.65013</v>
      </c>
      <c r="I32" s="41" t="n">
        <f aca="false">H32/1000</f>
        <v>384.98165013</v>
      </c>
      <c r="J32" s="42"/>
      <c r="K32" s="43"/>
      <c r="L32" s="43"/>
      <c r="M32" s="44"/>
      <c r="N32" s="42"/>
      <c r="O32" s="43"/>
      <c r="P32" s="43"/>
      <c r="Q32" s="45"/>
    </row>
    <row collapsed="false" customFormat="false" customHeight="false" hidden="false" ht="12.75" outlineLevel="0" r="33">
      <c r="A33" s="46"/>
      <c r="B33" s="39" t="s">
        <v>23</v>
      </c>
      <c r="C33" s="39" t="n">
        <v>11</v>
      </c>
      <c r="D33" s="40" t="n">
        <v>87188.3</v>
      </c>
      <c r="E33" s="40" t="n">
        <f aca="false">D33*$A$2</f>
        <v>26374.46075</v>
      </c>
      <c r="F33" s="40" t="n">
        <f aca="false">E33*$B$2</f>
        <v>55386.367575</v>
      </c>
      <c r="G33" s="40" t="n">
        <f aca="false">F33/1000</f>
        <v>55.386367575</v>
      </c>
      <c r="H33" s="40" t="n">
        <f aca="false">F33*$C$2</f>
        <v>38770.4573025</v>
      </c>
      <c r="I33" s="41" t="n">
        <f aca="false">H33/1000</f>
        <v>38.7704573025</v>
      </c>
      <c r="J33" s="42"/>
      <c r="K33" s="43"/>
      <c r="L33" s="43"/>
      <c r="M33" s="44"/>
      <c r="N33" s="42"/>
      <c r="O33" s="43"/>
      <c r="P33" s="43"/>
      <c r="Q33" s="45"/>
    </row>
    <row collapsed="false" customFormat="false" customHeight="false" hidden="false" ht="12.75" outlineLevel="0" r="34">
      <c r="A34" s="46" t="s">
        <v>40</v>
      </c>
      <c r="B34" s="39" t="s">
        <v>18</v>
      </c>
      <c r="C34" s="39" t="n">
        <v>131</v>
      </c>
      <c r="D34" s="40" t="n">
        <v>2321543</v>
      </c>
      <c r="E34" s="40" t="n">
        <f aca="false">D34*$A$2</f>
        <v>702266.7575</v>
      </c>
      <c r="F34" s="40" t="n">
        <f aca="false">E34*$B$2</f>
        <v>1474760.19075</v>
      </c>
      <c r="G34" s="40" t="n">
        <f aca="false">F34/1000</f>
        <v>1474.76019075</v>
      </c>
      <c r="H34" s="40" t="n">
        <f aca="false">F34*$C$2</f>
        <v>1032332.133525</v>
      </c>
      <c r="I34" s="41" t="n">
        <f aca="false">H34/1000</f>
        <v>1032.332133525</v>
      </c>
      <c r="J34" s="42"/>
      <c r="K34" s="43"/>
      <c r="L34" s="43"/>
      <c r="M34" s="44"/>
      <c r="N34" s="42"/>
      <c r="O34" s="43"/>
      <c r="P34" s="43"/>
      <c r="Q34" s="45"/>
    </row>
    <row collapsed="false" customFormat="false" customHeight="false" hidden="false" ht="12.75" outlineLevel="0" r="35">
      <c r="A35" s="46"/>
      <c r="B35" s="39" t="s">
        <v>23</v>
      </c>
      <c r="C35" s="39" t="n">
        <v>26</v>
      </c>
      <c r="D35" s="40" t="n">
        <v>496977</v>
      </c>
      <c r="E35" s="40" t="n">
        <f aca="false">D35*$A$2</f>
        <v>150335.5425</v>
      </c>
      <c r="F35" s="40" t="n">
        <f aca="false">E35*$B$2</f>
        <v>315704.63925</v>
      </c>
      <c r="G35" s="40" t="n">
        <f aca="false">F35/1000</f>
        <v>315.70463925</v>
      </c>
      <c r="H35" s="40" t="n">
        <f aca="false">F35*$C$2</f>
        <v>220993.247475</v>
      </c>
      <c r="I35" s="41" t="n">
        <f aca="false">H35/1000</f>
        <v>220.993247475</v>
      </c>
      <c r="J35" s="42"/>
      <c r="K35" s="43"/>
      <c r="L35" s="43"/>
      <c r="M35" s="44"/>
      <c r="N35" s="42"/>
      <c r="O35" s="43"/>
      <c r="P35" s="43"/>
      <c r="Q35" s="45"/>
    </row>
    <row collapsed="false" customFormat="false" customHeight="false" hidden="false" ht="12.75" outlineLevel="0" r="36">
      <c r="A36" s="46" t="s">
        <v>41</v>
      </c>
      <c r="B36" s="39" t="s">
        <v>18</v>
      </c>
      <c r="C36" s="39" t="n">
        <v>14</v>
      </c>
      <c r="D36" s="40" t="n">
        <v>300215.9</v>
      </c>
      <c r="E36" s="40" t="n">
        <f aca="false">D36*$A$2</f>
        <v>90815.30975</v>
      </c>
      <c r="F36" s="40" t="n">
        <f aca="false">E36*$B$2</f>
        <v>190712.150475</v>
      </c>
      <c r="G36" s="40" t="n">
        <f aca="false">F36/1000</f>
        <v>190.712150475</v>
      </c>
      <c r="H36" s="40" t="n">
        <f aca="false">F36*$C$2</f>
        <v>133498.5053325</v>
      </c>
      <c r="I36" s="41" t="n">
        <f aca="false">H36/1000</f>
        <v>133.4985053325</v>
      </c>
      <c r="J36" s="42"/>
      <c r="K36" s="43"/>
      <c r="L36" s="43"/>
      <c r="M36" s="44"/>
      <c r="N36" s="42"/>
      <c r="O36" s="43"/>
      <c r="P36" s="43"/>
      <c r="Q36" s="45"/>
    </row>
    <row collapsed="false" customFormat="false" customHeight="false" hidden="false" ht="12.75" outlineLevel="0" r="37">
      <c r="A37" s="46"/>
      <c r="B37" s="39" t="s">
        <v>23</v>
      </c>
      <c r="C37" s="39" t="n">
        <v>8</v>
      </c>
      <c r="D37" s="40" t="n">
        <v>293938.4</v>
      </c>
      <c r="E37" s="40" t="n">
        <f aca="false">D37*$A$2</f>
        <v>88916.366</v>
      </c>
      <c r="F37" s="40" t="n">
        <f aca="false">E37*$B$2</f>
        <v>186724.3686</v>
      </c>
      <c r="G37" s="40" t="n">
        <f aca="false">F37/1000</f>
        <v>186.7243686</v>
      </c>
      <c r="H37" s="40" t="n">
        <f aca="false">F37*$C$2</f>
        <v>130707.05802</v>
      </c>
      <c r="I37" s="41" t="n">
        <f aca="false">H37/1000</f>
        <v>130.70705802</v>
      </c>
      <c r="J37" s="42"/>
      <c r="K37" s="43"/>
      <c r="L37" s="43"/>
      <c r="M37" s="44"/>
      <c r="N37" s="42"/>
      <c r="O37" s="43"/>
      <c r="P37" s="43"/>
      <c r="Q37" s="45"/>
    </row>
    <row collapsed="false" customFormat="false" customHeight="false" hidden="false" ht="12.75" outlineLevel="0" r="38">
      <c r="A38" s="46" t="s">
        <v>42</v>
      </c>
      <c r="B38" s="39" t="s">
        <v>18</v>
      </c>
      <c r="C38" s="39" t="n">
        <v>8</v>
      </c>
      <c r="D38" s="40" t="n">
        <v>74418</v>
      </c>
      <c r="E38" s="40" t="n">
        <f aca="false">D38*$A$2</f>
        <v>22511.445</v>
      </c>
      <c r="F38" s="40" t="n">
        <f aca="false">E38*$B$2</f>
        <v>47274.0345</v>
      </c>
      <c r="G38" s="40" t="n">
        <f aca="false">F38/1000</f>
        <v>47.2740345</v>
      </c>
      <c r="H38" s="40" t="n">
        <f aca="false">F38*$C$2</f>
        <v>33091.82415</v>
      </c>
      <c r="I38" s="41" t="n">
        <f aca="false">H38/1000</f>
        <v>33.09182415</v>
      </c>
      <c r="J38" s="42"/>
      <c r="K38" s="43"/>
      <c r="L38" s="43"/>
      <c r="M38" s="44"/>
      <c r="N38" s="42"/>
      <c r="O38" s="43"/>
      <c r="P38" s="43"/>
      <c r="Q38" s="45"/>
    </row>
    <row collapsed="false" customFormat="false" customHeight="false" hidden="false" ht="12.75" outlineLevel="0" r="39">
      <c r="A39" s="46"/>
      <c r="B39" s="39" t="s">
        <v>23</v>
      </c>
      <c r="C39" s="39" t="n">
        <v>5</v>
      </c>
      <c r="D39" s="40" t="n">
        <v>75817</v>
      </c>
      <c r="E39" s="40" t="n">
        <f aca="false">D39*$A$2</f>
        <v>22934.6425</v>
      </c>
      <c r="F39" s="40" t="n">
        <f aca="false">E39*$B$2</f>
        <v>48162.74925</v>
      </c>
      <c r="G39" s="40" t="n">
        <f aca="false">F39/1000</f>
        <v>48.16274925</v>
      </c>
      <c r="H39" s="40" t="n">
        <f aca="false">F39*$C$2</f>
        <v>33713.924475</v>
      </c>
      <c r="I39" s="41" t="n">
        <f aca="false">H39/1000</f>
        <v>33.713924475</v>
      </c>
      <c r="J39" s="42"/>
      <c r="K39" s="43"/>
      <c r="L39" s="43"/>
      <c r="M39" s="44"/>
      <c r="N39" s="42"/>
      <c r="O39" s="43"/>
      <c r="P39" s="43"/>
      <c r="Q39" s="45"/>
    </row>
    <row collapsed="false" customFormat="false" customHeight="false" hidden="false" ht="12.75" outlineLevel="0" r="40">
      <c r="A40" s="50" t="s">
        <v>43</v>
      </c>
      <c r="B40" s="39" t="s">
        <v>18</v>
      </c>
      <c r="C40" s="39" t="n">
        <v>63</v>
      </c>
      <c r="D40" s="40" t="n">
        <v>817452</v>
      </c>
      <c r="E40" s="40" t="n">
        <f aca="false">D40*$A$2</f>
        <v>247279.23</v>
      </c>
      <c r="F40" s="40" t="n">
        <f aca="false">E40*$B$2</f>
        <v>519286.383</v>
      </c>
      <c r="G40" s="40" t="n">
        <f aca="false">F40/1000</f>
        <v>519.286383</v>
      </c>
      <c r="H40" s="40" t="n">
        <f aca="false">F40*$C$2</f>
        <v>363500.4681</v>
      </c>
      <c r="I40" s="41" t="n">
        <f aca="false">H40/1000</f>
        <v>363.5004681</v>
      </c>
      <c r="J40" s="42"/>
      <c r="K40" s="43"/>
      <c r="L40" s="43" t="n">
        <v>450</v>
      </c>
      <c r="M40" s="44"/>
      <c r="N40" s="42"/>
      <c r="O40" s="43"/>
      <c r="P40" s="43"/>
      <c r="Q40" s="45"/>
    </row>
    <row collapsed="false" customFormat="false" customHeight="false" hidden="false" ht="13.5" outlineLevel="0" r="41">
      <c r="A41" s="50"/>
      <c r="B41" s="51" t="s">
        <v>23</v>
      </c>
      <c r="C41" s="51" t="n">
        <v>40</v>
      </c>
      <c r="D41" s="52" t="n">
        <v>803001</v>
      </c>
      <c r="E41" s="52" t="n">
        <f aca="false">D41*$A$2</f>
        <v>242907.8025</v>
      </c>
      <c r="F41" s="52" t="n">
        <f aca="false">E41*$B$2</f>
        <v>510106.38525</v>
      </c>
      <c r="G41" s="52" t="n">
        <f aca="false">F41/1000</f>
        <v>510.10638525</v>
      </c>
      <c r="H41" s="52" t="n">
        <f aca="false">F41*$C$2</f>
        <v>357074.469675</v>
      </c>
      <c r="I41" s="53" t="n">
        <f aca="false">H41/1000</f>
        <v>357.074469675</v>
      </c>
      <c r="J41" s="54"/>
      <c r="K41" s="55"/>
      <c r="L41" s="55"/>
      <c r="M41" s="56"/>
      <c r="N41" s="54"/>
      <c r="O41" s="55"/>
      <c r="P41" s="55"/>
      <c r="Q41" s="57"/>
    </row>
  </sheetData>
  <mergeCells count="21">
    <mergeCell ref="A3:I3"/>
    <mergeCell ref="A4:I4"/>
    <mergeCell ref="J6:Q6"/>
    <mergeCell ref="A7:B7"/>
    <mergeCell ref="J7:M7"/>
    <mergeCell ref="N7:Q7"/>
    <mergeCell ref="A8:B8"/>
    <mergeCell ref="A9:B9"/>
    <mergeCell ref="A10:A11"/>
    <mergeCell ref="A14:A15"/>
    <mergeCell ref="A16:A17"/>
    <mergeCell ref="A21:A22"/>
    <mergeCell ref="A23:A24"/>
    <mergeCell ref="A25:A26"/>
    <mergeCell ref="A27:A28"/>
    <mergeCell ref="A29:A30"/>
    <mergeCell ref="A32:A33"/>
    <mergeCell ref="A34:A35"/>
    <mergeCell ref="A36:A37"/>
    <mergeCell ref="A38:A39"/>
    <mergeCell ref="A40:A41"/>
  </mergeCells>
  <printOptions headings="false" gridLines="false" gridLinesSet="true" horizontalCentered="false" verticalCentered="false"/>
  <pageMargins left="0.75" right="0.75" top="1" bottom="1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"/>
  <sheetViews>
    <sheetView colorId="64" defaultGridColor="true" rightToLeft="false" showFormulas="false" showGridLines="true" showOutlineSymbols="true" showRowColHeaders="true" showZeros="true" tabSelected="false" topLeftCell="A67" view="normal" windowProtection="false" workbookViewId="0" zoomScale="100" zoomScaleNormal="100" zoomScalePageLayoutView="100">
      <selection activeCell="J10" activeCellId="0" pane="topLeft" sqref="J10"/>
    </sheetView>
  </sheetViews>
  <sheetFormatPr defaultRowHeight="12.75"/>
  <cols>
    <col collapsed="false" hidden="false" max="1" min="1" style="0" width="10.7746478873239"/>
    <col collapsed="false" hidden="false" max="2" min="2" style="0" width="16.2957746478873"/>
    <col collapsed="false" hidden="true" max="3" min="3" style="0" width="0"/>
    <col collapsed="false" hidden="false" max="4" min="4" style="0" width="12.4882629107981"/>
    <col collapsed="false" hidden="true" max="5" min="5" style="0" width="0"/>
    <col collapsed="false" hidden="false" max="6" min="6" style="0" width="9.06572769953052"/>
    <col collapsed="false" hidden="true" max="7" min="7" style="0" width="0"/>
    <col collapsed="false" hidden="false" max="8" min="8" style="0" width="8.81220657276995"/>
  </cols>
  <sheetData>
    <row collapsed="false" customFormat="false" customHeight="false" hidden="false" ht="21" outlineLevel="0" r="1">
      <c r="A1" s="58" t="s">
        <v>44</v>
      </c>
      <c r="B1" s="58"/>
      <c r="C1" s="58"/>
      <c r="D1" s="58"/>
      <c r="E1" s="58"/>
      <c r="F1" s="58"/>
      <c r="G1" s="58"/>
      <c r="H1" s="58"/>
    </row>
    <row collapsed="false" customFormat="false" customHeight="false" hidden="false" ht="14.25" outlineLevel="0" r="2">
      <c r="A2" s="59" t="s">
        <v>5</v>
      </c>
      <c r="B2" s="60" t="s">
        <v>45</v>
      </c>
      <c r="C2" s="61" t="s">
        <v>46</v>
      </c>
      <c r="D2" s="61" t="s">
        <v>47</v>
      </c>
      <c r="E2" s="61" t="s">
        <v>10</v>
      </c>
      <c r="F2" s="61" t="s">
        <v>11</v>
      </c>
      <c r="G2" s="61" t="s">
        <v>12</v>
      </c>
      <c r="H2" s="62" t="s">
        <v>13</v>
      </c>
    </row>
    <row collapsed="false" customFormat="false" customHeight="false" hidden="false" ht="14.25" outlineLevel="0" r="3">
      <c r="A3" s="63" t="s">
        <v>48</v>
      </c>
      <c r="B3" s="63"/>
      <c r="C3" s="64" t="n">
        <f aca="false">C4+C10+C17+C25+C30+C34+C36+C38+C42+C55+C64+C71+C73+C76+C83+C90+C93+C95</f>
        <v>17788811.95</v>
      </c>
      <c r="D3" s="64" t="n">
        <f aca="false">D4+D10+D17+D25+D30+D34+D36+D38+D42+D55+D64+D71+D73+D76+D83+D90+D93+D95</f>
        <v>5381115.614875</v>
      </c>
      <c r="E3" s="64" t="n">
        <f aca="false">E4+E10+E17+E25+E30+E34+E36+E38+E42+E55+E64+E71+E73+E76+E83+E90+E93+E95</f>
        <v>11300342.7912375</v>
      </c>
      <c r="F3" s="64" t="n">
        <f aca="false">F4+F10+F17+F25+F30+F34+F36+F38+F42+F55+F64+F71+F73+F76+F83+F90+F93+F95</f>
        <v>11300.3427912375</v>
      </c>
      <c r="G3" s="64" t="n">
        <f aca="false">G4+G10+G17+G25+G30+G34+G36+G38+G42+G55+G64+G71+G73+G76+G83+G90+G93+G95</f>
        <v>7910239.95386625</v>
      </c>
      <c r="H3" s="65" t="n">
        <f aca="false">H4+H10+H17+H25+H30+H34+H36+H38+H42+H55+H64+H71+H73+H76+H83+H90+H93+H95</f>
        <v>7910.23995386625</v>
      </c>
    </row>
    <row collapsed="false" customFormat="false" customHeight="false" hidden="false" ht="13.5" outlineLevel="0" r="4">
      <c r="A4" s="5" t="s">
        <v>49</v>
      </c>
      <c r="B4" s="66" t="s">
        <v>50</v>
      </c>
      <c r="C4" s="67" t="n">
        <f aca="false">SUM(C5:C9)</f>
        <v>1835316.32</v>
      </c>
      <c r="D4" s="67" t="n">
        <f aca="false">SUM(D5:D9)</f>
        <v>555183.1868</v>
      </c>
      <c r="E4" s="67" t="n">
        <f aca="false">SUM(E5:E9)</f>
        <v>1165884.69228</v>
      </c>
      <c r="F4" s="67" t="n">
        <f aca="false">E4/1000</f>
        <v>1165.88469228</v>
      </c>
      <c r="G4" s="67" t="n">
        <f aca="false">SUM(G5:G9)</f>
        <v>816119.284596</v>
      </c>
      <c r="H4" s="68" t="n">
        <f aca="false">SUM(H5:H9)</f>
        <v>816.119284596</v>
      </c>
    </row>
    <row collapsed="false" customFormat="false" customHeight="false" hidden="false" ht="13.5" outlineLevel="0" r="5">
      <c r="A5" s="5"/>
      <c r="B5" s="69" t="s">
        <v>51</v>
      </c>
      <c r="C5" s="70" t="n">
        <v>588540</v>
      </c>
      <c r="D5" s="70" t="n">
        <f aca="false">C5*0.3025</f>
        <v>178033.35</v>
      </c>
      <c r="E5" s="70" t="n">
        <f aca="false">D5*$B$103</f>
        <v>373870.035</v>
      </c>
      <c r="F5" s="70" t="n">
        <f aca="false">E5/1000</f>
        <v>373.870035</v>
      </c>
      <c r="G5" s="70" t="n">
        <f aca="false">E5*$B$104</f>
        <v>261709.0245</v>
      </c>
      <c r="H5" s="71" t="n">
        <f aca="false">G5/1000</f>
        <v>261.7090245</v>
      </c>
    </row>
    <row collapsed="false" customFormat="false" customHeight="false" hidden="false" ht="13.5" outlineLevel="0" r="6">
      <c r="A6" s="5"/>
      <c r="B6" s="69" t="s">
        <v>52</v>
      </c>
      <c r="C6" s="70" t="n">
        <v>301641</v>
      </c>
      <c r="D6" s="70" t="n">
        <f aca="false">C6*0.3025</f>
        <v>91246.4025</v>
      </c>
      <c r="E6" s="70" t="n">
        <f aca="false">D6*$B$103</f>
        <v>191617.44525</v>
      </c>
      <c r="F6" s="70" t="n">
        <f aca="false">E6/1000</f>
        <v>191.61744525</v>
      </c>
      <c r="G6" s="70" t="n">
        <f aca="false">E6*$B$104</f>
        <v>134132.211675</v>
      </c>
      <c r="H6" s="71" t="n">
        <f aca="false">G6/1000</f>
        <v>134.132211675</v>
      </c>
    </row>
    <row collapsed="false" customFormat="false" customHeight="false" hidden="false" ht="13.5" outlineLevel="0" r="7">
      <c r="A7" s="5"/>
      <c r="B7" s="69" t="s">
        <v>53</v>
      </c>
      <c r="C7" s="70" t="n">
        <v>684649.32</v>
      </c>
      <c r="D7" s="70" t="n">
        <f aca="false">C7*0.3025</f>
        <v>207106.4193</v>
      </c>
      <c r="E7" s="70" t="n">
        <f aca="false">D7*$B$103</f>
        <v>434923.48053</v>
      </c>
      <c r="F7" s="70" t="n">
        <f aca="false">E7/1000</f>
        <v>434.92348053</v>
      </c>
      <c r="G7" s="70" t="n">
        <f aca="false">E7*$B$104</f>
        <v>304446.436371</v>
      </c>
      <c r="H7" s="71" t="n">
        <f aca="false">G7/1000</f>
        <v>304.446436371</v>
      </c>
    </row>
    <row collapsed="false" customFormat="false" customHeight="false" hidden="false" ht="13.5" outlineLevel="0" r="8">
      <c r="A8" s="5"/>
      <c r="B8" s="69" t="s">
        <v>54</v>
      </c>
      <c r="C8" s="70" t="n">
        <v>85198</v>
      </c>
      <c r="D8" s="70" t="n">
        <f aca="false">C8*0.3025</f>
        <v>25772.395</v>
      </c>
      <c r="E8" s="70" t="n">
        <f aca="false">D8*$B$103</f>
        <v>54122.0295</v>
      </c>
      <c r="F8" s="70" t="n">
        <f aca="false">E8/1000</f>
        <v>54.1220295</v>
      </c>
      <c r="G8" s="70" t="n">
        <f aca="false">E8*$B$104</f>
        <v>37885.42065</v>
      </c>
      <c r="H8" s="71" t="n">
        <f aca="false">G8/1000</f>
        <v>37.88542065</v>
      </c>
    </row>
    <row collapsed="false" customFormat="false" customHeight="false" hidden="false" ht="14.25" outlineLevel="0" r="9">
      <c r="A9" s="5"/>
      <c r="B9" s="72" t="s">
        <v>55</v>
      </c>
      <c r="C9" s="73" t="n">
        <v>175288</v>
      </c>
      <c r="D9" s="73" t="n">
        <f aca="false">C9*0.3025</f>
        <v>53024.62</v>
      </c>
      <c r="E9" s="73" t="n">
        <f aca="false">D9*$B$103</f>
        <v>111351.702</v>
      </c>
      <c r="F9" s="73" t="n">
        <f aca="false">E9/1000</f>
        <v>111.351702</v>
      </c>
      <c r="G9" s="73" t="n">
        <f aca="false">E9*$B$104</f>
        <v>77946.1914</v>
      </c>
      <c r="H9" s="74" t="n">
        <f aca="false">G9/1000</f>
        <v>77.9461914</v>
      </c>
    </row>
    <row collapsed="false" customFormat="false" customHeight="false" hidden="false" ht="13.5" outlineLevel="0" r="10">
      <c r="A10" s="5" t="s">
        <v>56</v>
      </c>
      <c r="B10" s="66" t="s">
        <v>50</v>
      </c>
      <c r="C10" s="67" t="n">
        <f aca="false">SUM(C11:C16)</f>
        <v>149057</v>
      </c>
      <c r="D10" s="67" t="n">
        <f aca="false">SUM(D11:D16)</f>
        <v>45089.7425</v>
      </c>
      <c r="E10" s="67" t="n">
        <f aca="false">SUM(E11:E16)</f>
        <v>94688.45925</v>
      </c>
      <c r="F10" s="67" t="n">
        <f aca="false">E10/1000</f>
        <v>94.68845925</v>
      </c>
      <c r="G10" s="67" t="n">
        <f aca="false">SUM(G11:G16)</f>
        <v>66281.921475</v>
      </c>
      <c r="H10" s="68" t="n">
        <f aca="false">SUM(H11:H16)</f>
        <v>66.281921475</v>
      </c>
    </row>
    <row collapsed="false" customFormat="false" customHeight="false" hidden="false" ht="13.5" outlineLevel="0" r="11">
      <c r="A11" s="5"/>
      <c r="B11" s="69" t="s">
        <v>57</v>
      </c>
      <c r="C11" s="70" t="n">
        <v>76296</v>
      </c>
      <c r="D11" s="70" t="n">
        <f aca="false">C11*0.3025</f>
        <v>23079.54</v>
      </c>
      <c r="E11" s="70" t="n">
        <f aca="false">D11*$B$103</f>
        <v>48467.034</v>
      </c>
      <c r="F11" s="70" t="n">
        <f aca="false">E11/1000</f>
        <v>48.467034</v>
      </c>
      <c r="G11" s="70" t="n">
        <f aca="false">E11*$B$104</f>
        <v>33926.9238</v>
      </c>
      <c r="H11" s="71" t="n">
        <f aca="false">G11/1000</f>
        <v>33.9269238</v>
      </c>
    </row>
    <row collapsed="false" customFormat="false" customHeight="false" hidden="false" ht="13.5" outlineLevel="0" r="12">
      <c r="A12" s="5"/>
      <c r="B12" s="69" t="s">
        <v>58</v>
      </c>
      <c r="C12" s="70" t="n">
        <v>3787</v>
      </c>
      <c r="D12" s="70" t="n">
        <f aca="false">C12*0.3025</f>
        <v>1145.5675</v>
      </c>
      <c r="E12" s="70" t="n">
        <f aca="false">D12*$B$103</f>
        <v>2405.69175</v>
      </c>
      <c r="F12" s="70" t="n">
        <f aca="false">E12/1000</f>
        <v>2.40569175</v>
      </c>
      <c r="G12" s="70" t="n">
        <f aca="false">E12*$B$104</f>
        <v>1683.984225</v>
      </c>
      <c r="H12" s="71" t="n">
        <f aca="false">G12/1000</f>
        <v>1.683984225</v>
      </c>
    </row>
    <row collapsed="false" customFormat="false" customHeight="false" hidden="false" ht="13.5" outlineLevel="0" r="13">
      <c r="A13" s="5"/>
      <c r="B13" s="69" t="s">
        <v>59</v>
      </c>
      <c r="C13" s="70" t="n">
        <v>5624</v>
      </c>
      <c r="D13" s="70" t="n">
        <f aca="false">C13*0.3025</f>
        <v>1701.26</v>
      </c>
      <c r="E13" s="70" t="n">
        <f aca="false">D13*$B$103</f>
        <v>3572.646</v>
      </c>
      <c r="F13" s="70" t="n">
        <f aca="false">E13/1000</f>
        <v>3.572646</v>
      </c>
      <c r="G13" s="70" t="n">
        <f aca="false">E13*$B$104</f>
        <v>2500.8522</v>
      </c>
      <c r="H13" s="71" t="n">
        <f aca="false">G13/1000</f>
        <v>2.5008522</v>
      </c>
    </row>
    <row collapsed="false" customFormat="false" customHeight="false" hidden="false" ht="13.5" outlineLevel="0" r="14">
      <c r="A14" s="5"/>
      <c r="B14" s="69" t="s">
        <v>60</v>
      </c>
      <c r="C14" s="70" t="n">
        <v>15967</v>
      </c>
      <c r="D14" s="70" t="n">
        <f aca="false">C14*0.3025</f>
        <v>4830.0175</v>
      </c>
      <c r="E14" s="70" t="n">
        <f aca="false">D14*$B$103</f>
        <v>10143.03675</v>
      </c>
      <c r="F14" s="70" t="n">
        <f aca="false">E14/1000</f>
        <v>10.14303675</v>
      </c>
      <c r="G14" s="70" t="n">
        <f aca="false">E14*$B$104</f>
        <v>7100.125725</v>
      </c>
      <c r="H14" s="71" t="n">
        <f aca="false">G14/1000</f>
        <v>7.100125725</v>
      </c>
    </row>
    <row collapsed="false" customFormat="false" customHeight="false" hidden="false" ht="13.5" outlineLevel="0" r="15">
      <c r="A15" s="5"/>
      <c r="B15" s="69" t="s">
        <v>61</v>
      </c>
      <c r="C15" s="70" t="n">
        <v>17335</v>
      </c>
      <c r="D15" s="70" t="n">
        <f aca="false">C15*0.3025</f>
        <v>5243.8375</v>
      </c>
      <c r="E15" s="70" t="n">
        <f aca="false">D15*$B$103</f>
        <v>11012.05875</v>
      </c>
      <c r="F15" s="70" t="n">
        <f aca="false">E15/1000</f>
        <v>11.01205875</v>
      </c>
      <c r="G15" s="70" t="n">
        <f aca="false">E15*$B$104</f>
        <v>7708.441125</v>
      </c>
      <c r="H15" s="71" t="n">
        <f aca="false">G15/1000</f>
        <v>7.708441125</v>
      </c>
    </row>
    <row collapsed="false" customFormat="false" customHeight="false" hidden="false" ht="14.25" outlineLevel="0" r="16">
      <c r="A16" s="5"/>
      <c r="B16" s="72" t="s">
        <v>62</v>
      </c>
      <c r="C16" s="73" t="n">
        <v>30048</v>
      </c>
      <c r="D16" s="73" t="n">
        <f aca="false">C16*0.3025</f>
        <v>9089.52</v>
      </c>
      <c r="E16" s="73" t="n">
        <f aca="false">D16*$B$103</f>
        <v>19087.992</v>
      </c>
      <c r="F16" s="73" t="n">
        <f aca="false">E16/1000</f>
        <v>19.087992</v>
      </c>
      <c r="G16" s="73" t="n">
        <f aca="false">E16*$B$104</f>
        <v>13361.5944</v>
      </c>
      <c r="H16" s="74" t="n">
        <f aca="false">G16/1000</f>
        <v>13.3615944</v>
      </c>
    </row>
    <row collapsed="false" customFormat="false" customHeight="false" hidden="false" ht="13.5" outlineLevel="0" r="17">
      <c r="A17" s="5" t="s">
        <v>63</v>
      </c>
      <c r="B17" s="66" t="s">
        <v>50</v>
      </c>
      <c r="C17" s="75" t="n">
        <f aca="false">SUM(C18:C24)</f>
        <v>1255059</v>
      </c>
      <c r="D17" s="75" t="n">
        <f aca="false">SUM(D18:D24)</f>
        <v>379655.3475</v>
      </c>
      <c r="E17" s="75" t="n">
        <f aca="false">SUM(E18:E24)</f>
        <v>797276.22975</v>
      </c>
      <c r="F17" s="75" t="n">
        <f aca="false">E17/1000</f>
        <v>797.27622975</v>
      </c>
      <c r="G17" s="75" t="n">
        <f aca="false">SUM(G18:G24)</f>
        <v>558093.360825</v>
      </c>
      <c r="H17" s="76" t="n">
        <f aca="false">SUM(H18:H24)</f>
        <v>558.093360825</v>
      </c>
    </row>
    <row collapsed="false" customFormat="false" customHeight="false" hidden="false" ht="13.5" outlineLevel="0" r="18">
      <c r="A18" s="5"/>
      <c r="B18" s="69" t="s">
        <v>64</v>
      </c>
      <c r="C18" s="70" t="n">
        <v>63569</v>
      </c>
      <c r="D18" s="70" t="n">
        <f aca="false">C18*0.3025</f>
        <v>19229.6225</v>
      </c>
      <c r="E18" s="70" t="n">
        <f aca="false">D18*$B$103</f>
        <v>40382.20725</v>
      </c>
      <c r="F18" s="70" t="n">
        <f aca="false">E18/1000</f>
        <v>40.38220725</v>
      </c>
      <c r="G18" s="70" t="n">
        <f aca="false">E18*$B$104</f>
        <v>28267.545075</v>
      </c>
      <c r="H18" s="71" t="n">
        <f aca="false">G18/1000</f>
        <v>28.267545075</v>
      </c>
    </row>
    <row collapsed="false" customFormat="false" customHeight="false" hidden="false" ht="13.5" outlineLevel="0" r="19">
      <c r="A19" s="5"/>
      <c r="B19" s="69" t="s">
        <v>65</v>
      </c>
      <c r="C19" s="70" t="n">
        <v>37960</v>
      </c>
      <c r="D19" s="70" t="n">
        <f aca="false">C19*0.3025</f>
        <v>11482.9</v>
      </c>
      <c r="E19" s="70" t="n">
        <f aca="false">D19*$B$103</f>
        <v>24114.09</v>
      </c>
      <c r="F19" s="70" t="n">
        <f aca="false">E19/1000</f>
        <v>24.11409</v>
      </c>
      <c r="G19" s="70" t="n">
        <f aca="false">E19*$B$104</f>
        <v>16879.863</v>
      </c>
      <c r="H19" s="71" t="n">
        <f aca="false">G19/1000</f>
        <v>16.879863</v>
      </c>
    </row>
    <row collapsed="false" customFormat="false" customHeight="false" hidden="false" ht="13.5" outlineLevel="0" r="20">
      <c r="A20" s="5"/>
      <c r="B20" s="69" t="s">
        <v>66</v>
      </c>
      <c r="C20" s="70" t="n">
        <v>1017226</v>
      </c>
      <c r="D20" s="70" t="n">
        <f aca="false">C20*0.3025</f>
        <v>307710.865</v>
      </c>
      <c r="E20" s="70" t="n">
        <f aca="false">D20*$B$103</f>
        <v>646192.8165</v>
      </c>
      <c r="F20" s="70" t="n">
        <f aca="false">E20/1000</f>
        <v>646.1928165</v>
      </c>
      <c r="G20" s="70" t="n">
        <f aca="false">E20*$B$104</f>
        <v>452334.97155</v>
      </c>
      <c r="H20" s="71" t="n">
        <f aca="false">G20/1000</f>
        <v>452.33497155</v>
      </c>
    </row>
    <row collapsed="false" customFormat="false" customHeight="false" hidden="false" ht="13.5" outlineLevel="0" r="21">
      <c r="A21" s="5"/>
      <c r="B21" s="69" t="s">
        <v>67</v>
      </c>
      <c r="C21" s="70" t="n">
        <v>26093</v>
      </c>
      <c r="D21" s="70" t="n">
        <f aca="false">C21*0.3025</f>
        <v>7893.1325</v>
      </c>
      <c r="E21" s="70" t="n">
        <f aca="false">D21*$B$103</f>
        <v>16575.57825</v>
      </c>
      <c r="F21" s="70" t="n">
        <f aca="false">E21/1000</f>
        <v>16.57557825</v>
      </c>
      <c r="G21" s="70" t="n">
        <f aca="false">E21*$B$104</f>
        <v>11602.904775</v>
      </c>
      <c r="H21" s="71" t="n">
        <f aca="false">G21/1000</f>
        <v>11.602904775</v>
      </c>
    </row>
    <row collapsed="false" customFormat="false" customHeight="false" hidden="false" ht="13.5" outlineLevel="0" r="22">
      <c r="A22" s="5"/>
      <c r="B22" s="69" t="s">
        <v>68</v>
      </c>
      <c r="C22" s="70" t="n">
        <v>16585</v>
      </c>
      <c r="D22" s="70" t="n">
        <f aca="false">C22*0.3025</f>
        <v>5016.9625</v>
      </c>
      <c r="E22" s="70" t="n">
        <f aca="false">D22*$B$103</f>
        <v>10535.62125</v>
      </c>
      <c r="F22" s="70" t="n">
        <f aca="false">E22/1000</f>
        <v>10.53562125</v>
      </c>
      <c r="G22" s="70" t="n">
        <f aca="false">E22*$B$104</f>
        <v>7374.934875</v>
      </c>
      <c r="H22" s="71" t="n">
        <f aca="false">G22/1000</f>
        <v>7.374934875</v>
      </c>
    </row>
    <row collapsed="false" customFormat="false" customHeight="false" hidden="false" ht="13.5" outlineLevel="0" r="23">
      <c r="A23" s="5"/>
      <c r="B23" s="69" t="s">
        <v>69</v>
      </c>
      <c r="C23" s="70" t="n">
        <v>73634</v>
      </c>
      <c r="D23" s="70" t="n">
        <f aca="false">C23*0.3025</f>
        <v>22274.285</v>
      </c>
      <c r="E23" s="70" t="n">
        <f aca="false">D23*$B$103</f>
        <v>46775.9985</v>
      </c>
      <c r="F23" s="70" t="n">
        <f aca="false">E23/1000</f>
        <v>46.7759985</v>
      </c>
      <c r="G23" s="70" t="n">
        <f aca="false">E23*$B$104</f>
        <v>32743.19895</v>
      </c>
      <c r="H23" s="71" t="n">
        <f aca="false">G23/1000</f>
        <v>32.74319895</v>
      </c>
    </row>
    <row collapsed="false" customFormat="false" customHeight="false" hidden="false" ht="14.25" outlineLevel="0" r="24">
      <c r="A24" s="5"/>
      <c r="B24" s="72" t="s">
        <v>70</v>
      </c>
      <c r="C24" s="73" t="n">
        <v>19992</v>
      </c>
      <c r="D24" s="73" t="n">
        <f aca="false">C24*0.3025</f>
        <v>6047.58</v>
      </c>
      <c r="E24" s="73" t="n">
        <f aca="false">D24*$B$103</f>
        <v>12699.918</v>
      </c>
      <c r="F24" s="73" t="n">
        <f aca="false">E24/1000</f>
        <v>12.699918</v>
      </c>
      <c r="G24" s="73" t="n">
        <f aca="false">E24*$B$104</f>
        <v>8889.9426</v>
      </c>
      <c r="H24" s="74" t="n">
        <f aca="false">G24/1000</f>
        <v>8.8899426</v>
      </c>
    </row>
    <row collapsed="false" customFormat="false" customHeight="false" hidden="false" ht="13.5" outlineLevel="0" r="25">
      <c r="A25" s="5" t="s">
        <v>71</v>
      </c>
      <c r="B25" s="66" t="s">
        <v>50</v>
      </c>
      <c r="C25" s="67" t="n">
        <f aca="false">SUM(C26:C29)</f>
        <v>1033092</v>
      </c>
      <c r="D25" s="67" t="n">
        <f aca="false">SUM(D26:D29)</f>
        <v>312510.33</v>
      </c>
      <c r="E25" s="67" t="n">
        <f aca="false">SUM(E26:E29)</f>
        <v>656271.693</v>
      </c>
      <c r="F25" s="67" t="n">
        <f aca="false">E25/1000</f>
        <v>656.271693</v>
      </c>
      <c r="G25" s="67" t="n">
        <f aca="false">SUM(G26:G29)</f>
        <v>459390.1851</v>
      </c>
      <c r="H25" s="68" t="n">
        <f aca="false">SUM(H26:H29)</f>
        <v>459.3901851</v>
      </c>
    </row>
    <row collapsed="false" customFormat="false" customHeight="false" hidden="false" ht="13.5" outlineLevel="0" r="26">
      <c r="A26" s="5"/>
      <c r="B26" s="69" t="s">
        <v>72</v>
      </c>
      <c r="C26" s="70" t="n">
        <v>2486</v>
      </c>
      <c r="D26" s="70" t="n">
        <f aca="false">C26*0.3025</f>
        <v>752.015</v>
      </c>
      <c r="E26" s="70" t="n">
        <f aca="false">D26*$B$103</f>
        <v>1579.2315</v>
      </c>
      <c r="F26" s="70" t="n">
        <f aca="false">E26/1000</f>
        <v>1.5792315</v>
      </c>
      <c r="G26" s="70" t="n">
        <f aca="false">E26*$B$104</f>
        <v>1105.46205</v>
      </c>
      <c r="H26" s="71" t="n">
        <f aca="false">G26/1000</f>
        <v>1.10546205</v>
      </c>
    </row>
    <row collapsed="false" customFormat="false" customHeight="false" hidden="false" ht="13.5" outlineLevel="0" r="27">
      <c r="A27" s="5"/>
      <c r="B27" s="69" t="s">
        <v>73</v>
      </c>
      <c r="C27" s="70" t="n">
        <v>533775</v>
      </c>
      <c r="D27" s="70" t="n">
        <f aca="false">C27*0.3025</f>
        <v>161466.9375</v>
      </c>
      <c r="E27" s="70" t="n">
        <f aca="false">D27*$B$103</f>
        <v>339080.56875</v>
      </c>
      <c r="F27" s="70" t="n">
        <f aca="false">E27/1000</f>
        <v>339.08056875</v>
      </c>
      <c r="G27" s="70" t="n">
        <f aca="false">E27*$B$104</f>
        <v>237356.398125</v>
      </c>
      <c r="H27" s="71" t="n">
        <f aca="false">G27/1000</f>
        <v>237.356398125</v>
      </c>
    </row>
    <row collapsed="false" customFormat="false" customHeight="false" hidden="false" ht="13.5" outlineLevel="0" r="28">
      <c r="A28" s="5"/>
      <c r="B28" s="69" t="s">
        <v>74</v>
      </c>
      <c r="C28" s="70" t="n">
        <v>21852</v>
      </c>
      <c r="D28" s="70" t="n">
        <f aca="false">C28*0.3025</f>
        <v>6610.23</v>
      </c>
      <c r="E28" s="70" t="n">
        <f aca="false">D28*$B$103</f>
        <v>13881.483</v>
      </c>
      <c r="F28" s="70" t="n">
        <f aca="false">E28/1000</f>
        <v>13.881483</v>
      </c>
      <c r="G28" s="70" t="n">
        <f aca="false">E28*$B$104</f>
        <v>9717.0381</v>
      </c>
      <c r="H28" s="71" t="n">
        <f aca="false">G28/1000</f>
        <v>9.7170381</v>
      </c>
    </row>
    <row collapsed="false" customFormat="false" customHeight="false" hidden="false" ht="14.25" outlineLevel="0" r="29">
      <c r="A29" s="5"/>
      <c r="B29" s="72" t="s">
        <v>75</v>
      </c>
      <c r="C29" s="73" t="n">
        <v>474979</v>
      </c>
      <c r="D29" s="73" t="n">
        <f aca="false">C29*0.3025</f>
        <v>143681.1475</v>
      </c>
      <c r="E29" s="73" t="n">
        <f aca="false">D29*$B$103</f>
        <v>301730.40975</v>
      </c>
      <c r="F29" s="73" t="n">
        <f aca="false">E29/1000</f>
        <v>301.73040975</v>
      </c>
      <c r="G29" s="73" t="n">
        <f aca="false">E29*$B$104</f>
        <v>211211.286825</v>
      </c>
      <c r="H29" s="74" t="n">
        <f aca="false">G29/1000</f>
        <v>211.211286825</v>
      </c>
    </row>
    <row collapsed="false" customFormat="false" customHeight="false" hidden="false" ht="13.5" outlineLevel="0" r="30">
      <c r="A30" s="5" t="s">
        <v>76</v>
      </c>
      <c r="B30" s="66" t="s">
        <v>50</v>
      </c>
      <c r="C30" s="67" t="n">
        <f aca="false">SUM(C31:C33)</f>
        <v>470726.5</v>
      </c>
      <c r="D30" s="67" t="n">
        <f aca="false">SUM(D31:D33)</f>
        <v>142394.76625</v>
      </c>
      <c r="E30" s="67" t="n">
        <f aca="false">SUM(E31:E33)</f>
        <v>299029.009125</v>
      </c>
      <c r="F30" s="67" t="n">
        <f aca="false">E30/1000</f>
        <v>299.029009125</v>
      </c>
      <c r="G30" s="67" t="n">
        <f aca="false">SUM(G31:G33)</f>
        <v>209320.3063875</v>
      </c>
      <c r="H30" s="68" t="n">
        <f aca="false">SUM(H31:H33)</f>
        <v>209.3203063875</v>
      </c>
    </row>
    <row collapsed="false" customFormat="false" customHeight="false" hidden="false" ht="13.5" outlineLevel="0" r="31">
      <c r="A31" s="5"/>
      <c r="B31" s="69" t="s">
        <v>77</v>
      </c>
      <c r="C31" s="70" t="n">
        <v>83333</v>
      </c>
      <c r="D31" s="70" t="n">
        <f aca="false">C31*0.3025</f>
        <v>25208.2325</v>
      </c>
      <c r="E31" s="70" t="n">
        <f aca="false">D31*$B$103</f>
        <v>52937.28825</v>
      </c>
      <c r="F31" s="70" t="n">
        <f aca="false">E31/1000</f>
        <v>52.93728825</v>
      </c>
      <c r="G31" s="70" t="n">
        <f aca="false">E31*$B$104</f>
        <v>37056.101775</v>
      </c>
      <c r="H31" s="71" t="n">
        <f aca="false">G31/1000</f>
        <v>37.056101775</v>
      </c>
    </row>
    <row collapsed="false" customFormat="false" customHeight="false" hidden="false" ht="13.5" outlineLevel="0" r="32">
      <c r="A32" s="5"/>
      <c r="B32" s="69" t="s">
        <v>78</v>
      </c>
      <c r="C32" s="70" t="n">
        <v>9310</v>
      </c>
      <c r="D32" s="70" t="n">
        <f aca="false">C32*0.3025</f>
        <v>2816.275</v>
      </c>
      <c r="E32" s="70" t="n">
        <f aca="false">D32*$B$103</f>
        <v>5914.1775</v>
      </c>
      <c r="F32" s="70" t="n">
        <f aca="false">E32/1000</f>
        <v>5.9141775</v>
      </c>
      <c r="G32" s="70" t="n">
        <f aca="false">E32*$B$104</f>
        <v>4139.92425</v>
      </c>
      <c r="H32" s="71" t="n">
        <f aca="false">G32/1000</f>
        <v>4.13992425</v>
      </c>
    </row>
    <row collapsed="false" customFormat="false" customHeight="false" hidden="false" ht="14.25" outlineLevel="0" r="33">
      <c r="A33" s="5"/>
      <c r="B33" s="72" t="s">
        <v>79</v>
      </c>
      <c r="C33" s="73" t="n">
        <v>378083.5</v>
      </c>
      <c r="D33" s="73" t="n">
        <f aca="false">C33*0.3025</f>
        <v>114370.25875</v>
      </c>
      <c r="E33" s="73" t="n">
        <f aca="false">D33*$B$103</f>
        <v>240177.543375</v>
      </c>
      <c r="F33" s="73" t="n">
        <f aca="false">E33/1000</f>
        <v>240.177543375</v>
      </c>
      <c r="G33" s="73" t="n">
        <f aca="false">E33*$B$104</f>
        <v>168124.2803625</v>
      </c>
      <c r="H33" s="74" t="n">
        <f aca="false">G33/1000</f>
        <v>168.1242803625</v>
      </c>
    </row>
    <row collapsed="false" customFormat="false" customHeight="false" hidden="false" ht="13.5" outlineLevel="0" r="34">
      <c r="A34" s="5" t="s">
        <v>80</v>
      </c>
      <c r="B34" s="66" t="s">
        <v>50</v>
      </c>
      <c r="C34" s="67" t="n">
        <v>201266</v>
      </c>
      <c r="D34" s="67" t="n">
        <f aca="false">C34*0.3025</f>
        <v>60882.965</v>
      </c>
      <c r="E34" s="67" t="n">
        <f aca="false">D34*2.1</f>
        <v>127854.2265</v>
      </c>
      <c r="F34" s="67" t="n">
        <f aca="false">E34/1000</f>
        <v>127.8542265</v>
      </c>
      <c r="G34" s="67" t="n">
        <f aca="false">E34*0.7</f>
        <v>89497.95855</v>
      </c>
      <c r="H34" s="68" t="n">
        <f aca="false">G34/1000</f>
        <v>89.49795855</v>
      </c>
    </row>
    <row collapsed="false" customFormat="false" customHeight="false" hidden="false" ht="14.25" outlineLevel="0" r="35">
      <c r="A35" s="5"/>
      <c r="B35" s="72" t="s">
        <v>81</v>
      </c>
      <c r="C35" s="73" t="n">
        <v>201266</v>
      </c>
      <c r="D35" s="73" t="n">
        <f aca="false">C35*0.3025</f>
        <v>60882.965</v>
      </c>
      <c r="E35" s="73" t="n">
        <f aca="false">D35*$B$103</f>
        <v>127854.2265</v>
      </c>
      <c r="F35" s="73" t="n">
        <f aca="false">E35/1000</f>
        <v>127.8542265</v>
      </c>
      <c r="G35" s="73" t="n">
        <f aca="false">E35*$B$104</f>
        <v>89497.95855</v>
      </c>
      <c r="H35" s="74" t="n">
        <f aca="false">G35/1000</f>
        <v>89.49795855</v>
      </c>
    </row>
    <row collapsed="false" customFormat="false" customHeight="false" hidden="false" ht="13.5" outlineLevel="0" r="36">
      <c r="A36" s="5" t="s">
        <v>82</v>
      </c>
      <c r="B36" s="66" t="s">
        <v>50</v>
      </c>
      <c r="C36" s="67" t="n">
        <v>31722</v>
      </c>
      <c r="D36" s="67" t="n">
        <f aca="false">C36*0.3025</f>
        <v>9595.905</v>
      </c>
      <c r="E36" s="67" t="n">
        <f aca="false">D36*2.1</f>
        <v>20151.4005</v>
      </c>
      <c r="F36" s="67" t="n">
        <f aca="false">E36/1000</f>
        <v>20.1514005</v>
      </c>
      <c r="G36" s="67" t="n">
        <f aca="false">E36*0.7</f>
        <v>14105.98035</v>
      </c>
      <c r="H36" s="68" t="n">
        <f aca="false">G36/1000</f>
        <v>14.10598035</v>
      </c>
    </row>
    <row collapsed="false" customFormat="false" customHeight="false" hidden="false" ht="14.25" outlineLevel="0" r="37">
      <c r="A37" s="5"/>
      <c r="B37" s="72" t="s">
        <v>83</v>
      </c>
      <c r="C37" s="73" t="n">
        <v>31722</v>
      </c>
      <c r="D37" s="73" t="n">
        <f aca="false">C37*0.3025</f>
        <v>9595.905</v>
      </c>
      <c r="E37" s="73" t="n">
        <f aca="false">D37*$B$103</f>
        <v>20151.4005</v>
      </c>
      <c r="F37" s="73" t="n">
        <f aca="false">E37/1000</f>
        <v>20.1514005</v>
      </c>
      <c r="G37" s="73" t="n">
        <f aca="false">E37*$B$104</f>
        <v>14105.98035</v>
      </c>
      <c r="H37" s="74" t="n">
        <f aca="false">G37/1000</f>
        <v>14.10598035</v>
      </c>
    </row>
    <row collapsed="false" customFormat="false" customHeight="false" hidden="false" ht="13.5" outlineLevel="0" r="38">
      <c r="A38" s="5" t="s">
        <v>84</v>
      </c>
      <c r="B38" s="66" t="s">
        <v>50</v>
      </c>
      <c r="C38" s="67" t="n">
        <f aca="false">SUM(C39:C41)</f>
        <v>572153.53</v>
      </c>
      <c r="D38" s="67" t="n">
        <f aca="false">SUM(D39:D41)</f>
        <v>173076.442825</v>
      </c>
      <c r="E38" s="67" t="n">
        <f aca="false">SUM(E39:E41)</f>
        <v>363460.5299325</v>
      </c>
      <c r="F38" s="67" t="n">
        <f aca="false">E38/1000</f>
        <v>363.4605299325</v>
      </c>
      <c r="G38" s="67" t="n">
        <f aca="false">SUM(G39:G41)</f>
        <v>254422.37095275</v>
      </c>
      <c r="H38" s="68" t="n">
        <f aca="false">SUM(H39:H41)</f>
        <v>254.42237095275</v>
      </c>
    </row>
    <row collapsed="false" customFormat="false" customHeight="false" hidden="false" ht="13.5" outlineLevel="0" r="39">
      <c r="A39" s="5"/>
      <c r="B39" s="69" t="s">
        <v>85</v>
      </c>
      <c r="C39" s="70" t="n">
        <v>27572</v>
      </c>
      <c r="D39" s="70" t="n">
        <f aca="false">C39*0.3025</f>
        <v>8340.53</v>
      </c>
      <c r="E39" s="70" t="n">
        <f aca="false">D39*$B$103</f>
        <v>17515.113</v>
      </c>
      <c r="F39" s="70" t="n">
        <f aca="false">E39/1000</f>
        <v>17.515113</v>
      </c>
      <c r="G39" s="70" t="n">
        <f aca="false">E39*$B$104</f>
        <v>12260.5791</v>
      </c>
      <c r="H39" s="71" t="n">
        <f aca="false">G39/1000</f>
        <v>12.2605791</v>
      </c>
    </row>
    <row collapsed="false" customFormat="false" customHeight="false" hidden="false" ht="13.5" outlineLevel="0" r="40">
      <c r="A40" s="5"/>
      <c r="B40" s="69" t="s">
        <v>86</v>
      </c>
      <c r="C40" s="70" t="n">
        <v>462232.53</v>
      </c>
      <c r="D40" s="70" t="n">
        <f aca="false">C40*0.3025</f>
        <v>139825.340325</v>
      </c>
      <c r="E40" s="70" t="n">
        <f aca="false">D40*$B$103</f>
        <v>293633.2146825</v>
      </c>
      <c r="F40" s="70" t="n">
        <f aca="false">E40/1000</f>
        <v>293.6332146825</v>
      </c>
      <c r="G40" s="70" t="n">
        <f aca="false">E40*$B$104</f>
        <v>205543.25027775</v>
      </c>
      <c r="H40" s="71" t="n">
        <f aca="false">G40/1000</f>
        <v>205.54325027775</v>
      </c>
    </row>
    <row collapsed="false" customFormat="false" customHeight="false" hidden="false" ht="14.25" outlineLevel="0" r="41">
      <c r="A41" s="5"/>
      <c r="B41" s="72" t="s">
        <v>87</v>
      </c>
      <c r="C41" s="73" t="n">
        <v>82349</v>
      </c>
      <c r="D41" s="73" t="n">
        <f aca="false">C41*0.3025</f>
        <v>24910.5725</v>
      </c>
      <c r="E41" s="73" t="n">
        <f aca="false">D41*$B$103</f>
        <v>52312.20225</v>
      </c>
      <c r="F41" s="73" t="n">
        <f aca="false">E41/1000</f>
        <v>52.31220225</v>
      </c>
      <c r="G41" s="73" t="n">
        <f aca="false">E41*$B$104</f>
        <v>36618.541575</v>
      </c>
      <c r="H41" s="74" t="n">
        <f aca="false">G41/1000</f>
        <v>36.618541575</v>
      </c>
    </row>
    <row collapsed="false" customFormat="false" customHeight="false" hidden="false" ht="13.5" outlineLevel="0" r="42">
      <c r="A42" s="5" t="s">
        <v>88</v>
      </c>
      <c r="B42" s="66" t="s">
        <v>50</v>
      </c>
      <c r="C42" s="67" t="n">
        <f aca="false">SUM(C43:C54)</f>
        <v>4697268.1</v>
      </c>
      <c r="D42" s="67" t="n">
        <f aca="false">SUM(D43:D54)</f>
        <v>1420923.60025</v>
      </c>
      <c r="E42" s="67" t="n">
        <f aca="false">SUM(E43:E54)</f>
        <v>2983939.560525</v>
      </c>
      <c r="F42" s="67" t="n">
        <f aca="false">E42/1000</f>
        <v>2983.939560525</v>
      </c>
      <c r="G42" s="67" t="n">
        <f aca="false">SUM(G43:G54)</f>
        <v>2088757.6923675</v>
      </c>
      <c r="H42" s="68" t="n">
        <f aca="false">SUM(H43:H54)</f>
        <v>2088.7576923675</v>
      </c>
    </row>
    <row collapsed="false" customFormat="false" customHeight="false" hidden="false" ht="13.5" outlineLevel="0" r="43">
      <c r="A43" s="5"/>
      <c r="B43" s="69" t="s">
        <v>89</v>
      </c>
      <c r="C43" s="70" t="n">
        <v>314270</v>
      </c>
      <c r="D43" s="70" t="n">
        <f aca="false">C43*0.3025</f>
        <v>95066.675</v>
      </c>
      <c r="E43" s="70" t="n">
        <f aca="false">D43*$B$103</f>
        <v>199640.0175</v>
      </c>
      <c r="F43" s="70" t="n">
        <f aca="false">E43/1000</f>
        <v>199.6400175</v>
      </c>
      <c r="G43" s="70" t="n">
        <f aca="false">E43*$B$104</f>
        <v>139748.01225</v>
      </c>
      <c r="H43" s="71" t="n">
        <f aca="false">G43/1000</f>
        <v>139.74801225</v>
      </c>
    </row>
    <row collapsed="false" customFormat="false" customHeight="false" hidden="false" ht="13.5" outlineLevel="0" r="44">
      <c r="A44" s="5"/>
      <c r="B44" s="69" t="s">
        <v>90</v>
      </c>
      <c r="C44" s="70" t="n">
        <v>208089</v>
      </c>
      <c r="D44" s="70" t="n">
        <f aca="false">C44*0.3025</f>
        <v>62946.9225</v>
      </c>
      <c r="E44" s="70" t="n">
        <f aca="false">D44*$B$103</f>
        <v>132188.53725</v>
      </c>
      <c r="F44" s="70" t="n">
        <f aca="false">E44/1000</f>
        <v>132.18853725</v>
      </c>
      <c r="G44" s="70" t="n">
        <f aca="false">E44*$B$104</f>
        <v>92531.976075</v>
      </c>
      <c r="H44" s="71" t="n">
        <f aca="false">G44/1000</f>
        <v>92.531976075</v>
      </c>
    </row>
    <row collapsed="false" customFormat="false" customHeight="false" hidden="false" ht="13.5" outlineLevel="0" r="45">
      <c r="A45" s="5"/>
      <c r="B45" s="69" t="s">
        <v>91</v>
      </c>
      <c r="C45" s="70" t="n">
        <v>579346.6</v>
      </c>
      <c r="D45" s="70" t="n">
        <f aca="false">C45*0.3025</f>
        <v>175252.3465</v>
      </c>
      <c r="E45" s="70" t="n">
        <f aca="false">D45*$B$103</f>
        <v>368029.92765</v>
      </c>
      <c r="F45" s="70" t="n">
        <f aca="false">E45/1000</f>
        <v>368.02992765</v>
      </c>
      <c r="G45" s="70" t="n">
        <f aca="false">E45*$B$104</f>
        <v>257620.949355</v>
      </c>
      <c r="H45" s="71" t="n">
        <f aca="false">G45/1000</f>
        <v>257.620949355</v>
      </c>
    </row>
    <row collapsed="false" customFormat="false" customHeight="false" hidden="false" ht="13.5" outlineLevel="0" r="46">
      <c r="A46" s="5"/>
      <c r="B46" s="69" t="s">
        <v>92</v>
      </c>
      <c r="C46" s="70" t="n">
        <v>285328</v>
      </c>
      <c r="D46" s="70" t="n">
        <f aca="false">C46*0.3025</f>
        <v>86311.72</v>
      </c>
      <c r="E46" s="70" t="n">
        <f aca="false">D46*$B$103</f>
        <v>181254.612</v>
      </c>
      <c r="F46" s="70" t="n">
        <f aca="false">E46/1000</f>
        <v>181.254612</v>
      </c>
      <c r="G46" s="70" t="n">
        <f aca="false">E46*$B$104</f>
        <v>126878.2284</v>
      </c>
      <c r="H46" s="71" t="n">
        <f aca="false">G46/1000</f>
        <v>126.8782284</v>
      </c>
    </row>
    <row collapsed="false" customFormat="false" customHeight="false" hidden="false" ht="13.5" outlineLevel="0" r="47">
      <c r="A47" s="5"/>
      <c r="B47" s="69" t="s">
        <v>93</v>
      </c>
      <c r="C47" s="70" t="n">
        <v>380830</v>
      </c>
      <c r="D47" s="70" t="n">
        <f aca="false">C47*0.3025</f>
        <v>115201.075</v>
      </c>
      <c r="E47" s="70" t="n">
        <f aca="false">D47*$B$103</f>
        <v>241922.2575</v>
      </c>
      <c r="F47" s="70" t="n">
        <f aca="false">E47/1000</f>
        <v>241.9222575</v>
      </c>
      <c r="G47" s="70" t="n">
        <f aca="false">E47*$B$104</f>
        <v>169345.58025</v>
      </c>
      <c r="H47" s="71" t="n">
        <f aca="false">G47/1000</f>
        <v>169.34558025</v>
      </c>
    </row>
    <row collapsed="false" customFormat="false" customHeight="false" hidden="false" ht="13.5" outlineLevel="0" r="48">
      <c r="A48" s="5"/>
      <c r="B48" s="69" t="s">
        <v>94</v>
      </c>
      <c r="C48" s="70" t="n">
        <v>266431.9</v>
      </c>
      <c r="D48" s="70" t="n">
        <f aca="false">C48*0.3025</f>
        <v>80595.64975</v>
      </c>
      <c r="E48" s="70" t="n">
        <f aca="false">D48*$B$103</f>
        <v>169250.864475</v>
      </c>
      <c r="F48" s="70" t="n">
        <f aca="false">E48/1000</f>
        <v>169.250864475</v>
      </c>
      <c r="G48" s="70" t="n">
        <f aca="false">E48*$B$104</f>
        <v>118475.6051325</v>
      </c>
      <c r="H48" s="71" t="n">
        <f aca="false">G48/1000</f>
        <v>118.4756051325</v>
      </c>
    </row>
    <row collapsed="false" customFormat="false" customHeight="false" hidden="false" ht="13.5" outlineLevel="0" r="49">
      <c r="A49" s="5"/>
      <c r="B49" s="69" t="s">
        <v>95</v>
      </c>
      <c r="C49" s="70" t="n">
        <v>664693</v>
      </c>
      <c r="D49" s="70" t="n">
        <f aca="false">C49*0.3025</f>
        <v>201069.6325</v>
      </c>
      <c r="E49" s="70" t="n">
        <f aca="false">D49*$B$103</f>
        <v>422246.22825</v>
      </c>
      <c r="F49" s="70" t="n">
        <f aca="false">E49/1000</f>
        <v>422.24622825</v>
      </c>
      <c r="G49" s="70" t="n">
        <f aca="false">E49*$B$104</f>
        <v>295572.359775</v>
      </c>
      <c r="H49" s="71" t="n">
        <f aca="false">G49/1000</f>
        <v>295.572359775</v>
      </c>
    </row>
    <row collapsed="false" customFormat="false" customHeight="false" hidden="false" ht="13.5" outlineLevel="0" r="50">
      <c r="A50" s="5"/>
      <c r="B50" s="69" t="s">
        <v>96</v>
      </c>
      <c r="C50" s="70" t="n">
        <v>480080.5</v>
      </c>
      <c r="D50" s="70" t="n">
        <f aca="false">C50*0.3025</f>
        <v>145224.35125</v>
      </c>
      <c r="E50" s="70" t="n">
        <f aca="false">D50*$B$103</f>
        <v>304971.137625</v>
      </c>
      <c r="F50" s="70" t="n">
        <f aca="false">E50/1000</f>
        <v>304.971137625</v>
      </c>
      <c r="G50" s="70" t="n">
        <f aca="false">E50*$B$104</f>
        <v>213479.7963375</v>
      </c>
      <c r="H50" s="71" t="n">
        <f aca="false">G50/1000</f>
        <v>213.4797963375</v>
      </c>
    </row>
    <row collapsed="false" customFormat="false" customHeight="false" hidden="false" ht="13.5" outlineLevel="0" r="51">
      <c r="A51" s="5"/>
      <c r="B51" s="69" t="s">
        <v>97</v>
      </c>
      <c r="C51" s="70" t="n">
        <v>172261</v>
      </c>
      <c r="D51" s="70" t="n">
        <f aca="false">C51*0.3025</f>
        <v>52108.9525</v>
      </c>
      <c r="E51" s="70" t="n">
        <f aca="false">D51*$B$103</f>
        <v>109428.80025</v>
      </c>
      <c r="F51" s="70" t="n">
        <f aca="false">E51/1000</f>
        <v>109.42880025</v>
      </c>
      <c r="G51" s="70" t="n">
        <f aca="false">E51*$B$104</f>
        <v>76600.160175</v>
      </c>
      <c r="H51" s="71" t="n">
        <f aca="false">G51/1000</f>
        <v>76.600160175</v>
      </c>
    </row>
    <row collapsed="false" customFormat="false" customHeight="false" hidden="false" ht="13.5" outlineLevel="0" r="52">
      <c r="A52" s="5"/>
      <c r="B52" s="69" t="s">
        <v>98</v>
      </c>
      <c r="C52" s="70" t="n">
        <v>372779.4</v>
      </c>
      <c r="D52" s="70" t="n">
        <f aca="false">C52*0.3025</f>
        <v>112765.7685</v>
      </c>
      <c r="E52" s="70" t="n">
        <f aca="false">D52*$B$103</f>
        <v>236808.11385</v>
      </c>
      <c r="F52" s="70" t="n">
        <f aca="false">E52/1000</f>
        <v>236.80811385</v>
      </c>
      <c r="G52" s="70" t="n">
        <f aca="false">E52*$B$104</f>
        <v>165765.679695</v>
      </c>
      <c r="H52" s="71" t="n">
        <f aca="false">G52/1000</f>
        <v>165.765679695</v>
      </c>
    </row>
    <row collapsed="false" customFormat="false" customHeight="false" hidden="false" ht="13.5" outlineLevel="0" r="53">
      <c r="A53" s="5"/>
      <c r="B53" s="69" t="s">
        <v>99</v>
      </c>
      <c r="C53" s="70" t="n">
        <v>613785.2</v>
      </c>
      <c r="D53" s="70" t="n">
        <f aca="false">C53*0.3025</f>
        <v>185670.023</v>
      </c>
      <c r="E53" s="70" t="n">
        <f aca="false">D53*$B$103</f>
        <v>389907.0483</v>
      </c>
      <c r="F53" s="70" t="n">
        <f aca="false">E53/1000</f>
        <v>389.9070483</v>
      </c>
      <c r="G53" s="70" t="n">
        <f aca="false">E53*$B$104</f>
        <v>272934.93381</v>
      </c>
      <c r="H53" s="71" t="n">
        <f aca="false">G53/1000</f>
        <v>272.93493381</v>
      </c>
    </row>
    <row collapsed="false" customFormat="false" customHeight="false" hidden="false" ht="14.25" outlineLevel="0" r="54">
      <c r="A54" s="5"/>
      <c r="B54" s="72" t="s">
        <v>100</v>
      </c>
      <c r="C54" s="73" t="n">
        <v>359373.5</v>
      </c>
      <c r="D54" s="73" t="n">
        <f aca="false">C54*0.3025</f>
        <v>108710.48375</v>
      </c>
      <c r="E54" s="73" t="n">
        <f aca="false">D54*$B$103</f>
        <v>228292.015875</v>
      </c>
      <c r="F54" s="73" t="n">
        <f aca="false">E54/1000</f>
        <v>228.292015875</v>
      </c>
      <c r="G54" s="73" t="n">
        <f aca="false">E54*$B$104</f>
        <v>159804.4111125</v>
      </c>
      <c r="H54" s="74" t="n">
        <f aca="false">G54/1000</f>
        <v>159.8044111125</v>
      </c>
    </row>
    <row collapsed="false" customFormat="false" customHeight="false" hidden="false" ht="13.5" outlineLevel="0" r="55">
      <c r="A55" s="5" t="s">
        <v>101</v>
      </c>
      <c r="B55" s="66" t="s">
        <v>50</v>
      </c>
      <c r="C55" s="67" t="n">
        <f aca="false">SUM(C56:C63)</f>
        <v>1532686.2</v>
      </c>
      <c r="D55" s="67" t="n">
        <f aca="false">SUM(D56:D63)</f>
        <v>463637.5755</v>
      </c>
      <c r="E55" s="67" t="n">
        <f aca="false">SUM(E56:E63)</f>
        <v>973638.90855</v>
      </c>
      <c r="F55" s="67" t="n">
        <f aca="false">E55/1000</f>
        <v>973.63890855</v>
      </c>
      <c r="G55" s="67" t="n">
        <f aca="false">SUM(G56:G63)</f>
        <v>681547.235985</v>
      </c>
      <c r="H55" s="68" t="n">
        <f aca="false">SUM(H56:H63)</f>
        <v>681.547235985</v>
      </c>
    </row>
    <row collapsed="false" customFormat="false" customHeight="false" hidden="false" ht="13.5" outlineLevel="0" r="56">
      <c r="A56" s="5"/>
      <c r="B56" s="69" t="s">
        <v>102</v>
      </c>
      <c r="C56" s="70" t="n">
        <v>44253.7</v>
      </c>
      <c r="D56" s="70" t="n">
        <f aca="false">C56*0.3025</f>
        <v>13386.74425</v>
      </c>
      <c r="E56" s="70" t="n">
        <f aca="false">D56*$B$103</f>
        <v>28112.162925</v>
      </c>
      <c r="F56" s="70" t="n">
        <f aca="false">E56/1000</f>
        <v>28.112162925</v>
      </c>
      <c r="G56" s="70" t="n">
        <f aca="false">E56*$B$104</f>
        <v>19678.5140475</v>
      </c>
      <c r="H56" s="71" t="n">
        <f aca="false">G56/1000</f>
        <v>19.6785140475</v>
      </c>
    </row>
    <row collapsed="false" customFormat="false" customHeight="false" hidden="false" ht="13.5" outlineLevel="0" r="57">
      <c r="A57" s="5"/>
      <c r="B57" s="69" t="s">
        <v>103</v>
      </c>
      <c r="C57" s="70" t="n">
        <v>448062.9</v>
      </c>
      <c r="D57" s="70" t="n">
        <f aca="false">C57*0.3025</f>
        <v>135539.02725</v>
      </c>
      <c r="E57" s="70" t="n">
        <f aca="false">D57*$B$103</f>
        <v>284631.957225</v>
      </c>
      <c r="F57" s="70" t="n">
        <f aca="false">E57/1000</f>
        <v>284.631957225</v>
      </c>
      <c r="G57" s="70" t="n">
        <f aca="false">E57*$B$104</f>
        <v>199242.3700575</v>
      </c>
      <c r="H57" s="71" t="n">
        <f aca="false">G57/1000</f>
        <v>199.2423700575</v>
      </c>
    </row>
    <row collapsed="false" customFormat="false" customHeight="false" hidden="false" ht="13.5" outlineLevel="0" r="58">
      <c r="A58" s="5"/>
      <c r="B58" s="69" t="s">
        <v>104</v>
      </c>
      <c r="C58" s="70" t="n">
        <v>7680</v>
      </c>
      <c r="D58" s="70" t="n">
        <f aca="false">C58*0.3025</f>
        <v>2323.2</v>
      </c>
      <c r="E58" s="70" t="n">
        <f aca="false">D58*$B$103</f>
        <v>4878.72</v>
      </c>
      <c r="F58" s="70" t="n">
        <f aca="false">E58/1000</f>
        <v>4.87872</v>
      </c>
      <c r="G58" s="70" t="n">
        <f aca="false">E58*$B$104</f>
        <v>3415.104</v>
      </c>
      <c r="H58" s="71" t="n">
        <f aca="false">G58/1000</f>
        <v>3.415104</v>
      </c>
    </row>
    <row collapsed="false" customFormat="false" customHeight="false" hidden="false" ht="13.5" outlineLevel="0" r="59">
      <c r="A59" s="5"/>
      <c r="B59" s="69" t="s">
        <v>105</v>
      </c>
      <c r="C59" s="70" t="n">
        <v>65112.1</v>
      </c>
      <c r="D59" s="70" t="n">
        <f aca="false">C59*0.3025</f>
        <v>19696.41025</v>
      </c>
      <c r="E59" s="70" t="n">
        <f aca="false">D59*$B$103</f>
        <v>41362.461525</v>
      </c>
      <c r="F59" s="70" t="n">
        <f aca="false">E59/1000</f>
        <v>41.362461525</v>
      </c>
      <c r="G59" s="70" t="n">
        <f aca="false">E59*$B$104</f>
        <v>28953.7230675</v>
      </c>
      <c r="H59" s="71" t="n">
        <f aca="false">G59/1000</f>
        <v>28.9537230675</v>
      </c>
    </row>
    <row collapsed="false" customFormat="false" customHeight="false" hidden="false" ht="13.5" outlineLevel="0" r="60">
      <c r="A60" s="5"/>
      <c r="B60" s="69" t="s">
        <v>106</v>
      </c>
      <c r="C60" s="70" t="n">
        <v>667049.5</v>
      </c>
      <c r="D60" s="70" t="n">
        <f aca="false">C60*0.3025</f>
        <v>201782.47375</v>
      </c>
      <c r="E60" s="70" t="n">
        <f aca="false">D60*$B$103</f>
        <v>423743.194875</v>
      </c>
      <c r="F60" s="70" t="n">
        <f aca="false">E60/1000</f>
        <v>423.743194875</v>
      </c>
      <c r="G60" s="70" t="n">
        <f aca="false">E60*$B$104</f>
        <v>296620.2364125</v>
      </c>
      <c r="H60" s="71" t="n">
        <f aca="false">G60/1000</f>
        <v>296.6202364125</v>
      </c>
    </row>
    <row collapsed="false" customFormat="false" customHeight="false" hidden="false" ht="13.5" outlineLevel="0" r="61">
      <c r="A61" s="5"/>
      <c r="B61" s="69" t="s">
        <v>107</v>
      </c>
      <c r="C61" s="70" t="n">
        <v>149640</v>
      </c>
      <c r="D61" s="70" t="n">
        <f aca="false">C61*0.3025</f>
        <v>45266.1</v>
      </c>
      <c r="E61" s="70" t="n">
        <f aca="false">D61*$B$103</f>
        <v>95058.81</v>
      </c>
      <c r="F61" s="70" t="n">
        <f aca="false">E61/1000</f>
        <v>95.05881</v>
      </c>
      <c r="G61" s="70" t="n">
        <f aca="false">E61*$B$104</f>
        <v>66541.167</v>
      </c>
      <c r="H61" s="71" t="n">
        <f aca="false">G61/1000</f>
        <v>66.541167</v>
      </c>
    </row>
    <row collapsed="false" customFormat="false" customHeight="false" hidden="false" ht="13.5" outlineLevel="0" r="62">
      <c r="A62" s="5"/>
      <c r="B62" s="69" t="s">
        <v>108</v>
      </c>
      <c r="C62" s="70" t="n">
        <v>98612</v>
      </c>
      <c r="D62" s="70" t="n">
        <f aca="false">C62*0.3025</f>
        <v>29830.13</v>
      </c>
      <c r="E62" s="70" t="n">
        <f aca="false">D62*$B$103</f>
        <v>62643.273</v>
      </c>
      <c r="F62" s="70" t="n">
        <f aca="false">E62/1000</f>
        <v>62.643273</v>
      </c>
      <c r="G62" s="70" t="n">
        <f aca="false">E62*$B$104</f>
        <v>43850.2911</v>
      </c>
      <c r="H62" s="71" t="n">
        <f aca="false">G62/1000</f>
        <v>43.8502911</v>
      </c>
    </row>
    <row collapsed="false" customFormat="false" customHeight="false" hidden="false" ht="14.25" outlineLevel="0" r="63">
      <c r="A63" s="5"/>
      <c r="B63" s="72" t="s">
        <v>109</v>
      </c>
      <c r="C63" s="73" t="n">
        <v>52276</v>
      </c>
      <c r="D63" s="73" t="n">
        <f aca="false">C63*0.3025</f>
        <v>15813.49</v>
      </c>
      <c r="E63" s="73" t="n">
        <f aca="false">D63*$B$103</f>
        <v>33208.329</v>
      </c>
      <c r="F63" s="73" t="n">
        <f aca="false">E63/1000</f>
        <v>33.208329</v>
      </c>
      <c r="G63" s="73" t="n">
        <f aca="false">E63*$B$104</f>
        <v>23245.8303</v>
      </c>
      <c r="H63" s="74" t="n">
        <f aca="false">G63/1000</f>
        <v>23.2458303</v>
      </c>
    </row>
    <row collapsed="false" customFormat="false" customHeight="false" hidden="false" ht="13.5" outlineLevel="0" r="64">
      <c r="A64" s="5" t="s">
        <v>110</v>
      </c>
      <c r="B64" s="66" t="s">
        <v>50</v>
      </c>
      <c r="C64" s="67" t="n">
        <f aca="false">SUM(C65:C70)</f>
        <v>1370772.8</v>
      </c>
      <c r="D64" s="67" t="n">
        <f aca="false">SUM(D65:D70)</f>
        <v>414658.772</v>
      </c>
      <c r="E64" s="67" t="n">
        <f aca="false">SUM(E65:E70)</f>
        <v>870783.4212</v>
      </c>
      <c r="F64" s="67" t="n">
        <f aca="false">E64/1000</f>
        <v>870.7834212</v>
      </c>
      <c r="G64" s="67" t="n">
        <f aca="false">SUM(G65:G70)</f>
        <v>609548.39484</v>
      </c>
      <c r="H64" s="68" t="n">
        <f aca="false">SUM(H65:H70)</f>
        <v>609.54839484</v>
      </c>
    </row>
    <row collapsed="false" customFormat="false" customHeight="false" hidden="false" ht="13.5" outlineLevel="0" r="65">
      <c r="A65" s="5"/>
      <c r="B65" s="69" t="s">
        <v>111</v>
      </c>
      <c r="C65" s="70" t="n">
        <v>75288</v>
      </c>
      <c r="D65" s="70" t="n">
        <f aca="false">C65*0.3025</f>
        <v>22774.62</v>
      </c>
      <c r="E65" s="70" t="n">
        <f aca="false">D65*$B$103</f>
        <v>47826.702</v>
      </c>
      <c r="F65" s="70" t="n">
        <f aca="false">E65/1000</f>
        <v>47.826702</v>
      </c>
      <c r="G65" s="70" t="n">
        <f aca="false">E65*$B$104</f>
        <v>33478.6914</v>
      </c>
      <c r="H65" s="71" t="n">
        <f aca="false">G65/1000</f>
        <v>33.4786914</v>
      </c>
    </row>
    <row collapsed="false" customFormat="false" customHeight="false" hidden="false" ht="13.5" outlineLevel="0" r="66">
      <c r="A66" s="5"/>
      <c r="B66" s="69" t="s">
        <v>112</v>
      </c>
      <c r="C66" s="70" t="n">
        <v>67121.8</v>
      </c>
      <c r="D66" s="70" t="n">
        <f aca="false">C66*0.3025</f>
        <v>20304.3445</v>
      </c>
      <c r="E66" s="70" t="n">
        <f aca="false">D66*$B$103</f>
        <v>42639.12345</v>
      </c>
      <c r="F66" s="70" t="n">
        <f aca="false">E66/1000</f>
        <v>42.63912345</v>
      </c>
      <c r="G66" s="70" t="n">
        <f aca="false">E66*$B$104</f>
        <v>29847.386415</v>
      </c>
      <c r="H66" s="71" t="n">
        <f aca="false">G66/1000</f>
        <v>29.847386415</v>
      </c>
    </row>
    <row collapsed="false" customFormat="false" customHeight="false" hidden="false" ht="13.5" outlineLevel="0" r="67">
      <c r="A67" s="5"/>
      <c r="B67" s="69" t="s">
        <v>113</v>
      </c>
      <c r="C67" s="70" t="n">
        <v>26675</v>
      </c>
      <c r="D67" s="70" t="n">
        <f aca="false">C67*0.3025</f>
        <v>8069.1875</v>
      </c>
      <c r="E67" s="70" t="n">
        <f aca="false">D67*$B$103</f>
        <v>16945.29375</v>
      </c>
      <c r="F67" s="70" t="n">
        <f aca="false">E67/1000</f>
        <v>16.94529375</v>
      </c>
      <c r="G67" s="70" t="n">
        <f aca="false">E67*$B$104</f>
        <v>11861.705625</v>
      </c>
      <c r="H67" s="71" t="n">
        <f aca="false">G67/1000</f>
        <v>11.861705625</v>
      </c>
    </row>
    <row collapsed="false" customFormat="false" customHeight="false" hidden="false" ht="13.5" outlineLevel="0" r="68">
      <c r="A68" s="5"/>
      <c r="B68" s="69" t="s">
        <v>114</v>
      </c>
      <c r="C68" s="70" t="n">
        <v>686169</v>
      </c>
      <c r="D68" s="70" t="n">
        <f aca="false">C68*0.3025</f>
        <v>207566.1225</v>
      </c>
      <c r="E68" s="70" t="n">
        <f aca="false">D68*$B$103</f>
        <v>435888.85725</v>
      </c>
      <c r="F68" s="70" t="n">
        <f aca="false">E68/1000</f>
        <v>435.88885725</v>
      </c>
      <c r="G68" s="70" t="n">
        <f aca="false">E68*$B$104</f>
        <v>305122.200075</v>
      </c>
      <c r="H68" s="71" t="n">
        <f aca="false">G68/1000</f>
        <v>305.122200075</v>
      </c>
    </row>
    <row collapsed="false" customFormat="false" customHeight="false" hidden="false" ht="13.5" outlineLevel="0" r="69">
      <c r="A69" s="5"/>
      <c r="B69" s="69" t="s">
        <v>115</v>
      </c>
      <c r="C69" s="70" t="n">
        <v>456312</v>
      </c>
      <c r="D69" s="70" t="n">
        <f aca="false">C69*0.3025</f>
        <v>138034.38</v>
      </c>
      <c r="E69" s="70" t="n">
        <f aca="false">D69*$B$103</f>
        <v>289872.198</v>
      </c>
      <c r="F69" s="70" t="n">
        <f aca="false">E69/1000</f>
        <v>289.872198</v>
      </c>
      <c r="G69" s="70" t="n">
        <f aca="false">E69*$B$104</f>
        <v>202910.5386</v>
      </c>
      <c r="H69" s="71" t="n">
        <f aca="false">G69/1000</f>
        <v>202.9105386</v>
      </c>
    </row>
    <row collapsed="false" customFormat="false" customHeight="false" hidden="false" ht="14.25" outlineLevel="0" r="70">
      <c r="A70" s="5"/>
      <c r="B70" s="72" t="s">
        <v>116</v>
      </c>
      <c r="C70" s="73" t="n">
        <v>59207</v>
      </c>
      <c r="D70" s="73" t="n">
        <f aca="false">C70*0.3025</f>
        <v>17910.1175</v>
      </c>
      <c r="E70" s="73" t="n">
        <f aca="false">D70*$B$103</f>
        <v>37611.24675</v>
      </c>
      <c r="F70" s="73" t="n">
        <f aca="false">E70/1000</f>
        <v>37.61124675</v>
      </c>
      <c r="G70" s="73" t="n">
        <f aca="false">E70*$B$104</f>
        <v>26327.872725</v>
      </c>
      <c r="H70" s="74" t="n">
        <f aca="false">G70/1000</f>
        <v>26.327872725</v>
      </c>
    </row>
    <row collapsed="false" customFormat="false" customHeight="false" hidden="false" ht="13.5" outlineLevel="0" r="71">
      <c r="A71" s="5" t="s">
        <v>117</v>
      </c>
      <c r="B71" s="66" t="s">
        <v>50</v>
      </c>
      <c r="C71" s="67" t="n">
        <v>155629</v>
      </c>
      <c r="D71" s="67" t="n">
        <f aca="false">C71*0.3025</f>
        <v>47077.7725</v>
      </c>
      <c r="E71" s="67" t="n">
        <f aca="false">D71*2.1</f>
        <v>98863.32225</v>
      </c>
      <c r="F71" s="67" t="n">
        <f aca="false">E71/1000</f>
        <v>98.86332225</v>
      </c>
      <c r="G71" s="67" t="n">
        <f aca="false">E71*0.7</f>
        <v>69204.325575</v>
      </c>
      <c r="H71" s="68" t="n">
        <f aca="false">G71/1000</f>
        <v>69.204325575</v>
      </c>
    </row>
    <row collapsed="false" customFormat="false" customHeight="false" hidden="false" ht="14.25" outlineLevel="0" r="72">
      <c r="A72" s="5"/>
      <c r="B72" s="72" t="s">
        <v>118</v>
      </c>
      <c r="C72" s="73" t="n">
        <v>155629</v>
      </c>
      <c r="D72" s="73" t="n">
        <f aca="false">C72*0.3025</f>
        <v>47077.7725</v>
      </c>
      <c r="E72" s="73" t="n">
        <f aca="false">D72*$B$103</f>
        <v>98863.32225</v>
      </c>
      <c r="F72" s="73" t="n">
        <f aca="false">E72/1000</f>
        <v>98.86332225</v>
      </c>
      <c r="G72" s="73" t="n">
        <f aca="false">E72*$B$104</f>
        <v>69204.325575</v>
      </c>
      <c r="H72" s="74" t="n">
        <f aca="false">G72/1000</f>
        <v>69.204325575</v>
      </c>
    </row>
    <row collapsed="false" customFormat="false" customHeight="false" hidden="false" ht="13.5" outlineLevel="0" r="73">
      <c r="A73" s="5" t="s">
        <v>119</v>
      </c>
      <c r="B73" s="66" t="s">
        <v>50</v>
      </c>
      <c r="C73" s="67" t="n">
        <f aca="false">SUM(C74:C75)</f>
        <v>104675</v>
      </c>
      <c r="D73" s="67" t="n">
        <f aca="false">SUM(D74:D75)</f>
        <v>31664.1875</v>
      </c>
      <c r="E73" s="67" t="n">
        <f aca="false">SUM(E74:E75)</f>
        <v>66494.79375</v>
      </c>
      <c r="F73" s="67" t="n">
        <f aca="false">E73/1000</f>
        <v>66.49479375</v>
      </c>
      <c r="G73" s="67" t="n">
        <f aca="false">SUM(G74:G75)</f>
        <v>46546.355625</v>
      </c>
      <c r="H73" s="68" t="n">
        <f aca="false">SUM(H74:H75)</f>
        <v>46.546355625</v>
      </c>
    </row>
    <row collapsed="false" customFormat="false" customHeight="false" hidden="false" ht="13.5" outlineLevel="0" r="74">
      <c r="A74" s="5"/>
      <c r="B74" s="69" t="s">
        <v>120</v>
      </c>
      <c r="C74" s="70" t="n">
        <v>43194</v>
      </c>
      <c r="D74" s="70" t="n">
        <f aca="false">C74*0.3025</f>
        <v>13066.185</v>
      </c>
      <c r="E74" s="70" t="n">
        <f aca="false">D74*$B$103</f>
        <v>27438.9885</v>
      </c>
      <c r="F74" s="70" t="n">
        <f aca="false">E74/1000</f>
        <v>27.4389885</v>
      </c>
      <c r="G74" s="70" t="n">
        <f aca="false">E74*$B$104</f>
        <v>19207.29195</v>
      </c>
      <c r="H74" s="71" t="n">
        <f aca="false">G74/1000</f>
        <v>19.20729195</v>
      </c>
    </row>
    <row collapsed="false" customFormat="false" customHeight="false" hidden="false" ht="14.25" outlineLevel="0" r="75">
      <c r="A75" s="5"/>
      <c r="B75" s="72" t="s">
        <v>121</v>
      </c>
      <c r="C75" s="73" t="n">
        <v>61481</v>
      </c>
      <c r="D75" s="73" t="n">
        <f aca="false">C75*0.3025</f>
        <v>18598.0025</v>
      </c>
      <c r="E75" s="73" t="n">
        <f aca="false">D75*$B$103</f>
        <v>39055.80525</v>
      </c>
      <c r="F75" s="73" t="n">
        <f aca="false">E75/1000</f>
        <v>39.05580525</v>
      </c>
      <c r="G75" s="73" t="n">
        <f aca="false">E75*$B$104</f>
        <v>27339.063675</v>
      </c>
      <c r="H75" s="74" t="n">
        <f aca="false">G75/1000</f>
        <v>27.339063675</v>
      </c>
    </row>
    <row collapsed="false" customFormat="false" customHeight="false" hidden="false" ht="13.5" outlineLevel="0" r="76">
      <c r="A76" s="5" t="s">
        <v>122</v>
      </c>
      <c r="B76" s="66" t="s">
        <v>50</v>
      </c>
      <c r="C76" s="67" t="n">
        <f aca="false">SUM(C77:C82)</f>
        <v>865759.6</v>
      </c>
      <c r="D76" s="67" t="n">
        <f aca="false">SUM(D77:D82)</f>
        <v>261892.279</v>
      </c>
      <c r="E76" s="67" t="n">
        <f aca="false">SUM(E77:E82)</f>
        <v>549973.7859</v>
      </c>
      <c r="F76" s="67" t="n">
        <f aca="false">E76/1000</f>
        <v>549.9737859</v>
      </c>
      <c r="G76" s="67" t="n">
        <f aca="false">SUM(G77:G82)</f>
        <v>384981.65013</v>
      </c>
      <c r="H76" s="68" t="n">
        <f aca="false">SUM(H77:H82)</f>
        <v>384.98165013</v>
      </c>
    </row>
    <row collapsed="false" customFormat="false" customHeight="false" hidden="false" ht="13.5" outlineLevel="0" r="77">
      <c r="A77" s="5"/>
      <c r="B77" s="69" t="s">
        <v>123</v>
      </c>
      <c r="C77" s="70" t="n">
        <v>8544.9</v>
      </c>
      <c r="D77" s="70" t="n">
        <f aca="false">C77*0.3025</f>
        <v>2584.83225</v>
      </c>
      <c r="E77" s="70" t="n">
        <f aca="false">D77*$B$103</f>
        <v>5428.147725</v>
      </c>
      <c r="F77" s="70" t="n">
        <f aca="false">E77/1000</f>
        <v>5.428147725</v>
      </c>
      <c r="G77" s="70" t="n">
        <f aca="false">E77*$B$104</f>
        <v>3799.7034075</v>
      </c>
      <c r="H77" s="71" t="n">
        <f aca="false">G77/1000</f>
        <v>3.7997034075</v>
      </c>
    </row>
    <row collapsed="false" customFormat="false" customHeight="false" hidden="false" ht="13.5" outlineLevel="0" r="78">
      <c r="A78" s="5"/>
      <c r="B78" s="69" t="s">
        <v>124</v>
      </c>
      <c r="C78" s="70" t="n">
        <v>91576</v>
      </c>
      <c r="D78" s="70" t="n">
        <f aca="false">C78*0.3025</f>
        <v>27701.74</v>
      </c>
      <c r="E78" s="70" t="n">
        <f aca="false">D78*$B$103</f>
        <v>58173.654</v>
      </c>
      <c r="F78" s="70" t="n">
        <f aca="false">E78/1000</f>
        <v>58.173654</v>
      </c>
      <c r="G78" s="70" t="n">
        <f aca="false">E78*$B$104</f>
        <v>40721.5578</v>
      </c>
      <c r="H78" s="71" t="n">
        <f aca="false">G78/1000</f>
        <v>40.7215578</v>
      </c>
    </row>
    <row collapsed="false" customFormat="false" customHeight="false" hidden="false" ht="13.5" outlineLevel="0" r="79">
      <c r="A79" s="5"/>
      <c r="B79" s="69" t="s">
        <v>125</v>
      </c>
      <c r="C79" s="70" t="n">
        <v>6776.6</v>
      </c>
      <c r="D79" s="70" t="n">
        <f aca="false">C79*0.3025</f>
        <v>2049.9215</v>
      </c>
      <c r="E79" s="70" t="n">
        <f aca="false">D79*$B$103</f>
        <v>4304.83515</v>
      </c>
      <c r="F79" s="70" t="n">
        <f aca="false">E79/1000</f>
        <v>4.30483515</v>
      </c>
      <c r="G79" s="70" t="n">
        <f aca="false">E79*$B$104</f>
        <v>3013.384605</v>
      </c>
      <c r="H79" s="71" t="n">
        <f aca="false">G79/1000</f>
        <v>3.013384605</v>
      </c>
    </row>
    <row collapsed="false" customFormat="false" customHeight="false" hidden="false" ht="13.5" outlineLevel="0" r="80">
      <c r="A80" s="5"/>
      <c r="B80" s="69" t="s">
        <v>126</v>
      </c>
      <c r="C80" s="70" t="n">
        <v>620944</v>
      </c>
      <c r="D80" s="70" t="n">
        <f aca="false">C80*0.3025</f>
        <v>187835.56</v>
      </c>
      <c r="E80" s="70" t="n">
        <f aca="false">D80*$B$103</f>
        <v>394454.676</v>
      </c>
      <c r="F80" s="70" t="n">
        <f aca="false">E80/1000</f>
        <v>394.454676</v>
      </c>
      <c r="G80" s="70" t="n">
        <f aca="false">E80*$B$104</f>
        <v>276118.2732</v>
      </c>
      <c r="H80" s="71" t="n">
        <f aca="false">G80/1000</f>
        <v>276.1182732</v>
      </c>
    </row>
    <row collapsed="false" customFormat="false" customHeight="false" hidden="false" ht="13.5" outlineLevel="0" r="81">
      <c r="A81" s="5"/>
      <c r="B81" s="69" t="s">
        <v>127</v>
      </c>
      <c r="C81" s="70" t="n">
        <v>72231</v>
      </c>
      <c r="D81" s="70" t="n">
        <f aca="false">C81*0.3025</f>
        <v>21849.8775</v>
      </c>
      <c r="E81" s="70" t="n">
        <f aca="false">D81*$B$103</f>
        <v>45884.74275</v>
      </c>
      <c r="F81" s="70" t="n">
        <f aca="false">E81/1000</f>
        <v>45.88474275</v>
      </c>
      <c r="G81" s="70" t="n">
        <f aca="false">E81*$B$104</f>
        <v>32119.319925</v>
      </c>
      <c r="H81" s="71" t="n">
        <f aca="false">G81/1000</f>
        <v>32.119319925</v>
      </c>
    </row>
    <row collapsed="false" customFormat="false" customHeight="false" hidden="false" ht="14.25" outlineLevel="0" r="82">
      <c r="A82" s="5"/>
      <c r="B82" s="72" t="s">
        <v>128</v>
      </c>
      <c r="C82" s="73" t="n">
        <v>65687.1</v>
      </c>
      <c r="D82" s="73" t="n">
        <f aca="false">C82*0.3025</f>
        <v>19870.34775</v>
      </c>
      <c r="E82" s="73" t="n">
        <f aca="false">D82*$B$103</f>
        <v>41727.730275</v>
      </c>
      <c r="F82" s="73" t="n">
        <f aca="false">E82/1000</f>
        <v>41.727730275</v>
      </c>
      <c r="G82" s="73" t="n">
        <f aca="false">E82*$B$104</f>
        <v>29209.4111925</v>
      </c>
      <c r="H82" s="74" t="n">
        <f aca="false">G82/1000</f>
        <v>29.2094111925</v>
      </c>
    </row>
    <row collapsed="false" customFormat="false" customHeight="false" hidden="false" ht="13.5" outlineLevel="0" r="83">
      <c r="A83" s="5" t="s">
        <v>129</v>
      </c>
      <c r="B83" s="66" t="s">
        <v>50</v>
      </c>
      <c r="C83" s="67" t="n">
        <f aca="false">SUM(C84:C89)</f>
        <v>2321543</v>
      </c>
      <c r="D83" s="67" t="n">
        <f aca="false">SUM(D84:D89)</f>
        <v>702266.7575</v>
      </c>
      <c r="E83" s="67" t="n">
        <f aca="false">SUM(E84:E89)</f>
        <v>1474760.19075</v>
      </c>
      <c r="F83" s="67" t="n">
        <f aca="false">E83/1000</f>
        <v>1474.76019075</v>
      </c>
      <c r="G83" s="67" t="n">
        <f aca="false">SUM(G84:G89)</f>
        <v>1032332.133525</v>
      </c>
      <c r="H83" s="68" t="n">
        <f aca="false">SUM(H84:H89)</f>
        <v>1032.332133525</v>
      </c>
    </row>
    <row collapsed="false" customFormat="false" customHeight="false" hidden="false" ht="13.5" outlineLevel="0" r="84">
      <c r="A84" s="5"/>
      <c r="B84" s="69" t="s">
        <v>130</v>
      </c>
      <c r="C84" s="70" t="n">
        <v>800881</v>
      </c>
      <c r="D84" s="70" t="n">
        <f aca="false">C84*0.3025</f>
        <v>242266.5025</v>
      </c>
      <c r="E84" s="70" t="n">
        <f aca="false">D84*$B$103</f>
        <v>508759.65525</v>
      </c>
      <c r="F84" s="70" t="n">
        <f aca="false">E84/1000</f>
        <v>508.75965525</v>
      </c>
      <c r="G84" s="70" t="n">
        <f aca="false">E84*$B$104</f>
        <v>356131.758675</v>
      </c>
      <c r="H84" s="71" t="n">
        <f aca="false">G84/1000</f>
        <v>356.131758675</v>
      </c>
    </row>
    <row collapsed="false" customFormat="false" customHeight="false" hidden="false" ht="13.5" outlineLevel="0" r="85">
      <c r="A85" s="5"/>
      <c r="B85" s="69" t="s">
        <v>131</v>
      </c>
      <c r="C85" s="70" t="n">
        <v>266489</v>
      </c>
      <c r="D85" s="70" t="n">
        <f aca="false">C85*0.3025</f>
        <v>80612.9225</v>
      </c>
      <c r="E85" s="70" t="n">
        <f aca="false">D85*$B$103</f>
        <v>169287.13725</v>
      </c>
      <c r="F85" s="70" t="n">
        <f aca="false">E85/1000</f>
        <v>169.28713725</v>
      </c>
      <c r="G85" s="70" t="n">
        <f aca="false">E85*$B$104</f>
        <v>118500.996075</v>
      </c>
      <c r="H85" s="71" t="n">
        <f aca="false">G85/1000</f>
        <v>118.500996075</v>
      </c>
    </row>
    <row collapsed="false" customFormat="false" customHeight="false" hidden="false" ht="13.5" outlineLevel="0" r="86">
      <c r="A86" s="5"/>
      <c r="B86" s="69" t="s">
        <v>132</v>
      </c>
      <c r="C86" s="70" t="n">
        <v>140372</v>
      </c>
      <c r="D86" s="70" t="n">
        <f aca="false">C86*0.3025</f>
        <v>42462.53</v>
      </c>
      <c r="E86" s="70" t="n">
        <f aca="false">D86*$B$103</f>
        <v>89171.313</v>
      </c>
      <c r="F86" s="70" t="n">
        <f aca="false">E86/1000</f>
        <v>89.171313</v>
      </c>
      <c r="G86" s="70" t="n">
        <f aca="false">E86*$B$104</f>
        <v>62419.9191</v>
      </c>
      <c r="H86" s="71" t="n">
        <f aca="false">G86/1000</f>
        <v>62.4199191</v>
      </c>
    </row>
    <row collapsed="false" customFormat="false" customHeight="false" hidden="false" ht="13.5" outlineLevel="0" r="87">
      <c r="A87" s="5"/>
      <c r="B87" s="69" t="s">
        <v>133</v>
      </c>
      <c r="C87" s="70" t="n">
        <v>357410</v>
      </c>
      <c r="D87" s="70" t="n">
        <f aca="false">C87*0.3025</f>
        <v>108116.525</v>
      </c>
      <c r="E87" s="70" t="n">
        <f aca="false">D87*$B$103</f>
        <v>227044.7025</v>
      </c>
      <c r="F87" s="70" t="n">
        <f aca="false">E87/1000</f>
        <v>227.0447025</v>
      </c>
      <c r="G87" s="70" t="n">
        <f aca="false">E87*$B$104</f>
        <v>158931.29175</v>
      </c>
      <c r="H87" s="71" t="n">
        <f aca="false">G87/1000</f>
        <v>158.93129175</v>
      </c>
    </row>
    <row collapsed="false" customFormat="false" customHeight="false" hidden="false" ht="13.5" outlineLevel="0" r="88">
      <c r="A88" s="5"/>
      <c r="B88" s="69" t="s">
        <v>134</v>
      </c>
      <c r="C88" s="70" t="n">
        <v>200643</v>
      </c>
      <c r="D88" s="70" t="n">
        <f aca="false">C88*0.3025</f>
        <v>60694.5075</v>
      </c>
      <c r="E88" s="70" t="n">
        <f aca="false">D88*$B$103</f>
        <v>127458.46575</v>
      </c>
      <c r="F88" s="70" t="n">
        <f aca="false">E88/1000</f>
        <v>127.45846575</v>
      </c>
      <c r="G88" s="70" t="n">
        <f aca="false">E88*$B$104</f>
        <v>89220.926025</v>
      </c>
      <c r="H88" s="71" t="n">
        <f aca="false">G88/1000</f>
        <v>89.220926025</v>
      </c>
    </row>
    <row collapsed="false" customFormat="false" customHeight="false" hidden="false" ht="14.25" outlineLevel="0" r="89">
      <c r="A89" s="5"/>
      <c r="B89" s="72" t="s">
        <v>135</v>
      </c>
      <c r="C89" s="73" t="n">
        <v>555748</v>
      </c>
      <c r="D89" s="73" t="n">
        <f aca="false">C89*0.3025</f>
        <v>168113.77</v>
      </c>
      <c r="E89" s="73" t="n">
        <f aca="false">D89*$B$103</f>
        <v>353038.917</v>
      </c>
      <c r="F89" s="73" t="n">
        <f aca="false">E89/1000</f>
        <v>353.038917</v>
      </c>
      <c r="G89" s="73" t="n">
        <f aca="false">E89*$B$104</f>
        <v>247127.2419</v>
      </c>
      <c r="H89" s="74" t="n">
        <f aca="false">G89/1000</f>
        <v>247.1272419</v>
      </c>
    </row>
    <row collapsed="false" customFormat="false" customHeight="false" hidden="false" ht="13.5" outlineLevel="0" r="90">
      <c r="A90" s="5" t="s">
        <v>136</v>
      </c>
      <c r="B90" s="66" t="s">
        <v>50</v>
      </c>
      <c r="C90" s="67" t="n">
        <f aca="false">SUM(C91:C92)</f>
        <v>300215.9</v>
      </c>
      <c r="D90" s="67" t="n">
        <f aca="false">SUM(D91:D92)</f>
        <v>90815.30975</v>
      </c>
      <c r="E90" s="67" t="n">
        <f aca="false">SUM(E91:E92)</f>
        <v>190712.150475</v>
      </c>
      <c r="F90" s="67" t="n">
        <f aca="false">E90/1000</f>
        <v>190.712150475</v>
      </c>
      <c r="G90" s="67" t="n">
        <f aca="false">SUM(G91:G92)</f>
        <v>133498.5053325</v>
      </c>
      <c r="H90" s="68" t="n">
        <f aca="false">SUM(H91:H92)</f>
        <v>133.4985053325</v>
      </c>
    </row>
    <row collapsed="false" customFormat="false" customHeight="false" hidden="false" ht="13.5" outlineLevel="0" r="91">
      <c r="A91" s="5"/>
      <c r="B91" s="69" t="s">
        <v>137</v>
      </c>
      <c r="C91" s="70" t="n">
        <v>22614</v>
      </c>
      <c r="D91" s="70" t="n">
        <f aca="false">C91*0.3025</f>
        <v>6840.735</v>
      </c>
      <c r="E91" s="70" t="n">
        <f aca="false">D91*$B$103</f>
        <v>14365.5435</v>
      </c>
      <c r="F91" s="70" t="n">
        <f aca="false">E91/1000</f>
        <v>14.3655435</v>
      </c>
      <c r="G91" s="70" t="n">
        <f aca="false">E91*$B$104</f>
        <v>10055.88045</v>
      </c>
      <c r="H91" s="71" t="n">
        <f aca="false">G91/1000</f>
        <v>10.05588045</v>
      </c>
    </row>
    <row collapsed="false" customFormat="false" customHeight="false" hidden="false" ht="14.25" outlineLevel="0" r="92">
      <c r="A92" s="5"/>
      <c r="B92" s="72" t="s">
        <v>138</v>
      </c>
      <c r="C92" s="73" t="n">
        <v>277601.9</v>
      </c>
      <c r="D92" s="73" t="n">
        <f aca="false">C92*0.3025</f>
        <v>83974.57475</v>
      </c>
      <c r="E92" s="73" t="n">
        <f aca="false">D92*$B$103</f>
        <v>176346.606975</v>
      </c>
      <c r="F92" s="73" t="n">
        <f aca="false">E92/1000</f>
        <v>176.346606975</v>
      </c>
      <c r="G92" s="73" t="n">
        <f aca="false">E92*$B$104</f>
        <v>123442.6248825</v>
      </c>
      <c r="H92" s="74" t="n">
        <f aca="false">G92/1000</f>
        <v>123.4426248825</v>
      </c>
    </row>
    <row collapsed="false" customFormat="false" customHeight="false" hidden="false" ht="13.5" outlineLevel="0" r="93">
      <c r="A93" s="5" t="s">
        <v>139</v>
      </c>
      <c r="B93" s="66" t="s">
        <v>50</v>
      </c>
      <c r="C93" s="67" t="n">
        <v>74418</v>
      </c>
      <c r="D93" s="67" t="n">
        <f aca="false">C93*0.3025</f>
        <v>22511.445</v>
      </c>
      <c r="E93" s="67" t="n">
        <f aca="false">D93*2.1</f>
        <v>47274.0345</v>
      </c>
      <c r="F93" s="67" t="n">
        <f aca="false">E93/1000</f>
        <v>47.2740345</v>
      </c>
      <c r="G93" s="67" t="n">
        <f aca="false">E93*0.7</f>
        <v>33091.82415</v>
      </c>
      <c r="H93" s="68" t="n">
        <f aca="false">G93/1000</f>
        <v>33.09182415</v>
      </c>
    </row>
    <row collapsed="false" customFormat="false" customHeight="false" hidden="false" ht="14.25" outlineLevel="0" r="94">
      <c r="A94" s="5"/>
      <c r="B94" s="72" t="s">
        <v>140</v>
      </c>
      <c r="C94" s="73" t="n">
        <v>74418</v>
      </c>
      <c r="D94" s="73" t="n">
        <f aca="false">C94*0.3025</f>
        <v>22511.445</v>
      </c>
      <c r="E94" s="73" t="n">
        <f aca="false">D94*$B$103</f>
        <v>47274.0345</v>
      </c>
      <c r="F94" s="73" t="n">
        <f aca="false">E94/1000</f>
        <v>47.2740345</v>
      </c>
      <c r="G94" s="73" t="n">
        <f aca="false">E94*$B$104</f>
        <v>33091.82415</v>
      </c>
      <c r="H94" s="74" t="n">
        <f aca="false">G94/1000</f>
        <v>33.09182415</v>
      </c>
    </row>
    <row collapsed="false" customFormat="false" customHeight="false" hidden="false" ht="13.5" outlineLevel="0" r="95">
      <c r="A95" s="5" t="s">
        <v>141</v>
      </c>
      <c r="B95" s="66" t="s">
        <v>50</v>
      </c>
      <c r="C95" s="67" t="n">
        <f aca="false">SUM(C96:C100)</f>
        <v>817452</v>
      </c>
      <c r="D95" s="67" t="n">
        <f aca="false">SUM(D96:D100)</f>
        <v>247279.23</v>
      </c>
      <c r="E95" s="67" t="n">
        <f aca="false">SUM(E96:E100)</f>
        <v>519286.383</v>
      </c>
      <c r="F95" s="67" t="n">
        <f aca="false">E95/1000</f>
        <v>519.286383</v>
      </c>
      <c r="G95" s="67" t="n">
        <f aca="false">SUM(G96:G100)</f>
        <v>363500.4681</v>
      </c>
      <c r="H95" s="68" t="n">
        <f aca="false">SUM(H96:H100)</f>
        <v>363.5004681</v>
      </c>
    </row>
    <row collapsed="false" customFormat="false" customHeight="false" hidden="false" ht="13.5" outlineLevel="0" r="96">
      <c r="A96" s="5"/>
      <c r="B96" s="69" t="s">
        <v>142</v>
      </c>
      <c r="C96" s="70" t="n">
        <v>232142</v>
      </c>
      <c r="D96" s="70" t="n">
        <f aca="false">C96*0.3025</f>
        <v>70222.955</v>
      </c>
      <c r="E96" s="70" t="n">
        <f aca="false">D96*$B$103</f>
        <v>147468.2055</v>
      </c>
      <c r="F96" s="70" t="n">
        <f aca="false">E96/1000</f>
        <v>147.4682055</v>
      </c>
      <c r="G96" s="70" t="n">
        <f aca="false">E96*$B$104</f>
        <v>103227.74385</v>
      </c>
      <c r="H96" s="71" t="n">
        <f aca="false">G96/1000</f>
        <v>103.22774385</v>
      </c>
    </row>
    <row collapsed="false" customFormat="false" customHeight="false" hidden="false" ht="13.5" outlineLevel="0" r="97">
      <c r="A97" s="5"/>
      <c r="B97" s="69" t="s">
        <v>143</v>
      </c>
      <c r="C97" s="70" t="n">
        <v>7859</v>
      </c>
      <c r="D97" s="70" t="n">
        <f aca="false">C97*0.3025</f>
        <v>2377.3475</v>
      </c>
      <c r="E97" s="70" t="n">
        <f aca="false">D97*$B$103</f>
        <v>4992.42975</v>
      </c>
      <c r="F97" s="70" t="n">
        <f aca="false">E97/1000</f>
        <v>4.99242975</v>
      </c>
      <c r="G97" s="70" t="n">
        <f aca="false">E97*$B$104</f>
        <v>3494.700825</v>
      </c>
      <c r="H97" s="71" t="n">
        <f aca="false">G97/1000</f>
        <v>3.494700825</v>
      </c>
    </row>
    <row collapsed="false" customFormat="false" customHeight="false" hidden="false" ht="13.5" outlineLevel="0" r="98">
      <c r="A98" s="5"/>
      <c r="B98" s="69" t="s">
        <v>144</v>
      </c>
      <c r="C98" s="70" t="n">
        <v>540637</v>
      </c>
      <c r="D98" s="70" t="n">
        <f aca="false">C98*0.3025</f>
        <v>163542.6925</v>
      </c>
      <c r="E98" s="70" t="n">
        <f aca="false">D98*$B$103</f>
        <v>343439.65425</v>
      </c>
      <c r="F98" s="70" t="n">
        <f aca="false">E98/1000</f>
        <v>343.43965425</v>
      </c>
      <c r="G98" s="70" t="n">
        <f aca="false">E98*$B$104</f>
        <v>240407.757975</v>
      </c>
      <c r="H98" s="71" t="n">
        <f aca="false">G98/1000</f>
        <v>240.407757975</v>
      </c>
    </row>
    <row collapsed="false" customFormat="false" customHeight="false" hidden="false" ht="13.5" outlineLevel="0" r="99">
      <c r="A99" s="5"/>
      <c r="B99" s="69" t="s">
        <v>145</v>
      </c>
      <c r="C99" s="70" t="n">
        <v>2033</v>
      </c>
      <c r="D99" s="70" t="n">
        <f aca="false">C99*0.3025</f>
        <v>614.9825</v>
      </c>
      <c r="E99" s="70" t="n">
        <f aca="false">D99*$B$103</f>
        <v>1291.46325</v>
      </c>
      <c r="F99" s="70" t="n">
        <f aca="false">E99/1000</f>
        <v>1.29146325</v>
      </c>
      <c r="G99" s="70" t="n">
        <f aca="false">E99*$B$104</f>
        <v>904.024275</v>
      </c>
      <c r="H99" s="71" t="n">
        <f aca="false">G99/1000</f>
        <v>0.904024275</v>
      </c>
    </row>
    <row collapsed="false" customFormat="false" customHeight="false" hidden="false" ht="14.25" outlineLevel="0" r="100">
      <c r="A100" s="5"/>
      <c r="B100" s="72" t="s">
        <v>146</v>
      </c>
      <c r="C100" s="73" t="n">
        <v>34781</v>
      </c>
      <c r="D100" s="73" t="n">
        <f aca="false">C100*0.3025</f>
        <v>10521.2525</v>
      </c>
      <c r="E100" s="73" t="n">
        <f aca="false">D100*$B$103</f>
        <v>22094.63025</v>
      </c>
      <c r="F100" s="73" t="n">
        <f aca="false">E100/1000</f>
        <v>22.09463025</v>
      </c>
      <c r="G100" s="73" t="n">
        <f aca="false">E100*$B$104</f>
        <v>15466.241175</v>
      </c>
      <c r="H100" s="74" t="n">
        <f aca="false">G100/1000</f>
        <v>15.466241175</v>
      </c>
    </row>
    <row collapsed="false" customFormat="false" customHeight="false" hidden="false" ht="12.75" outlineLevel="0" r="102">
      <c r="A102" s="1" t="s">
        <v>147</v>
      </c>
      <c r="B102" s="77"/>
    </row>
    <row collapsed="false" customFormat="false" customHeight="false" hidden="false" ht="12.75" outlineLevel="0" r="103">
      <c r="A103" s="1" t="s">
        <v>148</v>
      </c>
      <c r="B103" s="77" t="n">
        <v>2.1</v>
      </c>
    </row>
    <row collapsed="false" customFormat="false" customHeight="false" hidden="false" ht="12.75" outlineLevel="0" r="104">
      <c r="A104" s="1" t="s">
        <v>2</v>
      </c>
      <c r="B104" s="78" t="n">
        <v>0.7</v>
      </c>
    </row>
  </sheetData>
  <mergeCells count="20">
    <mergeCell ref="A1:H1"/>
    <mergeCell ref="A3:B3"/>
    <mergeCell ref="A4:A9"/>
    <mergeCell ref="A10:A16"/>
    <mergeCell ref="A17:A24"/>
    <mergeCell ref="A25:A29"/>
    <mergeCell ref="A30:A33"/>
    <mergeCell ref="A34:A35"/>
    <mergeCell ref="A36:A37"/>
    <mergeCell ref="A38:A41"/>
    <mergeCell ref="A42:A54"/>
    <mergeCell ref="A55:A63"/>
    <mergeCell ref="A64:A70"/>
    <mergeCell ref="A71:A72"/>
    <mergeCell ref="A73:A75"/>
    <mergeCell ref="A76:A82"/>
    <mergeCell ref="A83:A89"/>
    <mergeCell ref="A90:A92"/>
    <mergeCell ref="A93:A94"/>
    <mergeCell ref="A95:A100"/>
  </mergeCells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G4" activeCellId="0" pane="topLeft" sqref="G4"/>
    </sheetView>
  </sheetViews>
  <sheetFormatPr defaultRowHeight="21"/>
  <cols>
    <col collapsed="false" hidden="false" max="1" min="1" style="0" width="14.1924882629108"/>
    <col collapsed="false" hidden="true" max="2" min="2" style="0" width="0"/>
    <col collapsed="false" hidden="false" max="3" min="3" style="0" width="14.4600938967136"/>
    <col collapsed="false" hidden="true" max="4" min="4" style="0" width="0"/>
    <col collapsed="false" hidden="false" max="5" min="5" style="0" width="13.2769953051643"/>
    <col collapsed="false" hidden="true" max="6" min="6" style="0" width="0"/>
    <col collapsed="false" hidden="false" max="7" min="7" style="0" width="12.3568075117371"/>
  </cols>
  <sheetData>
    <row collapsed="false" customFormat="false" customHeight="true" hidden="false" ht="21" outlineLevel="0" r="1">
      <c r="A1" s="79" t="s">
        <v>149</v>
      </c>
      <c r="B1" s="79"/>
      <c r="C1" s="79"/>
      <c r="D1" s="79"/>
      <c r="E1" s="79"/>
      <c r="F1" s="79"/>
      <c r="G1" s="79"/>
    </row>
    <row collapsed="false" customFormat="false" customHeight="true" hidden="false" ht="21" outlineLevel="0" r="2">
      <c r="A2" s="80" t="s">
        <v>5</v>
      </c>
      <c r="B2" s="81" t="s">
        <v>46</v>
      </c>
      <c r="C2" s="81" t="s">
        <v>47</v>
      </c>
      <c r="D2" s="81" t="s">
        <v>10</v>
      </c>
      <c r="E2" s="81" t="s">
        <v>11</v>
      </c>
      <c r="F2" s="81" t="s">
        <v>12</v>
      </c>
      <c r="G2" s="82" t="s">
        <v>13</v>
      </c>
    </row>
    <row collapsed="false" customFormat="false" customHeight="true" hidden="false" ht="21" outlineLevel="0" r="3">
      <c r="A3" s="83" t="s">
        <v>48</v>
      </c>
      <c r="B3" s="84"/>
      <c r="C3" s="85" t="n">
        <f aca="false">SUM(C4:C17)</f>
        <v>2345418.988</v>
      </c>
      <c r="D3" s="85" t="n">
        <f aca="false">SUM(D4:D17)</f>
        <v>4925379.8748</v>
      </c>
      <c r="E3" s="85" t="n">
        <f aca="false">SUM(E4:E17)</f>
        <v>4925.3798748</v>
      </c>
      <c r="F3" s="85" t="n">
        <f aca="false">SUM(F4:F17)</f>
        <v>3447765.91236</v>
      </c>
      <c r="G3" s="86" t="n">
        <f aca="false">SUM(G4:G17)</f>
        <v>3447.76591236</v>
      </c>
    </row>
    <row collapsed="false" customFormat="false" customHeight="true" hidden="false" ht="21" outlineLevel="0" r="4">
      <c r="A4" s="87" t="s">
        <v>24</v>
      </c>
      <c r="B4" s="88" t="n">
        <v>27368</v>
      </c>
      <c r="C4" s="88" t="n">
        <f aca="false">B4*0.3025</f>
        <v>8278.82</v>
      </c>
      <c r="D4" s="88" t="n">
        <f aca="false">C4*2.1</f>
        <v>17385.522</v>
      </c>
      <c r="E4" s="88" t="n">
        <f aca="false">D4/1000</f>
        <v>17.385522</v>
      </c>
      <c r="F4" s="88" t="n">
        <f aca="false">D4*0.7</f>
        <v>12169.8654</v>
      </c>
      <c r="G4" s="89" t="n">
        <f aca="false">F4/1000</f>
        <v>12.1698654</v>
      </c>
    </row>
    <row collapsed="false" customFormat="false" customHeight="true" hidden="false" ht="21" outlineLevel="0" r="5">
      <c r="A5" s="90" t="s">
        <v>27</v>
      </c>
      <c r="B5" s="91" t="n">
        <v>79132</v>
      </c>
      <c r="C5" s="88" t="n">
        <f aca="false">B5*0.3025</f>
        <v>23937.43</v>
      </c>
      <c r="D5" s="91" t="n">
        <f aca="false">C5*2.1</f>
        <v>50268.603</v>
      </c>
      <c r="E5" s="91" t="n">
        <f aca="false">D5/1000</f>
        <v>50.268603</v>
      </c>
      <c r="F5" s="91" t="n">
        <f aca="false">D5*0.7</f>
        <v>35188.0221</v>
      </c>
      <c r="G5" s="92" t="n">
        <f aca="false">F5/1000</f>
        <v>35.1880221</v>
      </c>
    </row>
    <row collapsed="false" customFormat="false" customHeight="true" hidden="false" ht="21" outlineLevel="0" r="6">
      <c r="A6" s="90" t="s">
        <v>28</v>
      </c>
      <c r="B6" s="91" t="n">
        <v>97251</v>
      </c>
      <c r="C6" s="88" t="n">
        <f aca="false">B6*0.3025</f>
        <v>29418.4275</v>
      </c>
      <c r="D6" s="91" t="n">
        <f aca="false">C6*2.1</f>
        <v>61778.69775</v>
      </c>
      <c r="E6" s="91" t="n">
        <f aca="false">D6/1000</f>
        <v>61.77869775</v>
      </c>
      <c r="F6" s="91" t="n">
        <f aca="false">D6*0.7</f>
        <v>43245.088425</v>
      </c>
      <c r="G6" s="92" t="n">
        <f aca="false">F6/1000</f>
        <v>43.245088425</v>
      </c>
    </row>
    <row collapsed="false" customFormat="false" customHeight="true" hidden="false" ht="21" outlineLevel="0" r="7">
      <c r="A7" s="90" t="s">
        <v>31</v>
      </c>
      <c r="B7" s="91" t="n">
        <v>42579</v>
      </c>
      <c r="C7" s="88" t="n">
        <f aca="false">B7*0.3025</f>
        <v>12880.1475</v>
      </c>
      <c r="D7" s="91" t="n">
        <f aca="false">C7*2.1</f>
        <v>27048.30975</v>
      </c>
      <c r="E7" s="91" t="n">
        <f aca="false">D7/1000</f>
        <v>27.04830975</v>
      </c>
      <c r="F7" s="91" t="n">
        <f aca="false">D7*0.7</f>
        <v>18933.816825</v>
      </c>
      <c r="G7" s="92" t="n">
        <f aca="false">F7/1000</f>
        <v>18.933816825</v>
      </c>
    </row>
    <row collapsed="false" customFormat="false" customHeight="true" hidden="false" ht="21" outlineLevel="0" r="8">
      <c r="A8" s="90" t="s">
        <v>32</v>
      </c>
      <c r="B8" s="91" t="n">
        <v>780737.1</v>
      </c>
      <c r="C8" s="88" t="n">
        <f aca="false">B8*0.3025</f>
        <v>236172.97275</v>
      </c>
      <c r="D8" s="91" t="n">
        <f aca="false">C8*2.1</f>
        <v>495963.242775</v>
      </c>
      <c r="E8" s="91" t="n">
        <f aca="false">D8/1000</f>
        <v>495.963242775</v>
      </c>
      <c r="F8" s="91" t="n">
        <f aca="false">D8*0.7</f>
        <v>347174.2699425</v>
      </c>
      <c r="G8" s="92" t="n">
        <f aca="false">F8/1000</f>
        <v>347.1742699425</v>
      </c>
    </row>
    <row collapsed="false" customFormat="false" customHeight="true" hidden="false" ht="21" outlineLevel="0" r="9">
      <c r="A9" s="90" t="s">
        <v>33</v>
      </c>
      <c r="B9" s="91" t="n">
        <v>2065851.3</v>
      </c>
      <c r="C9" s="88" t="n">
        <f aca="false">B9*0.3025</f>
        <v>624920.01825</v>
      </c>
      <c r="D9" s="91" t="n">
        <f aca="false">C9*2.1</f>
        <v>1312332.038325</v>
      </c>
      <c r="E9" s="91" t="n">
        <f aca="false">D9/1000</f>
        <v>1312.332038325</v>
      </c>
      <c r="F9" s="91" t="n">
        <f aca="false">D9*0.7</f>
        <v>918632.4268275</v>
      </c>
      <c r="G9" s="92" t="n">
        <f aca="false">F9/1000</f>
        <v>918.6324268275</v>
      </c>
    </row>
    <row collapsed="false" customFormat="false" customHeight="true" hidden="false" ht="21" outlineLevel="0" r="10">
      <c r="A10" s="90" t="s">
        <v>35</v>
      </c>
      <c r="B10" s="91" t="n">
        <v>1075890.2</v>
      </c>
      <c r="C10" s="88" t="n">
        <f aca="false">B10*0.3025</f>
        <v>325456.7855</v>
      </c>
      <c r="D10" s="91" t="n">
        <f aca="false">C10*2.1</f>
        <v>683459.24955</v>
      </c>
      <c r="E10" s="91" t="n">
        <f aca="false">D10/1000</f>
        <v>683.45924955</v>
      </c>
      <c r="F10" s="91" t="n">
        <f aca="false">D10*0.7</f>
        <v>478421.474685</v>
      </c>
      <c r="G10" s="92" t="n">
        <f aca="false">F10/1000</f>
        <v>478.421474685</v>
      </c>
    </row>
    <row collapsed="false" customFormat="false" customHeight="true" hidden="false" ht="21" outlineLevel="0" r="11">
      <c r="A11" s="90" t="s">
        <v>36</v>
      </c>
      <c r="B11" s="91" t="n">
        <v>20840</v>
      </c>
      <c r="C11" s="88" t="n">
        <f aca="false">B11*0.3025</f>
        <v>6304.1</v>
      </c>
      <c r="D11" s="91" t="n">
        <f aca="false">C11*2.1</f>
        <v>13238.61</v>
      </c>
      <c r="E11" s="91" t="n">
        <f aca="false">D11/1000</f>
        <v>13.23861</v>
      </c>
      <c r="F11" s="91" t="n">
        <f aca="false">D11*0.7</f>
        <v>9267.027</v>
      </c>
      <c r="G11" s="92" t="n">
        <f aca="false">F11/1000</f>
        <v>9.267027</v>
      </c>
    </row>
    <row collapsed="false" customFormat="false" customHeight="true" hidden="false" ht="21" outlineLevel="0" r="12">
      <c r="A12" s="90" t="s">
        <v>37</v>
      </c>
      <c r="B12" s="91" t="n">
        <v>1806880.9</v>
      </c>
      <c r="C12" s="88" t="n">
        <f aca="false">B12*0.3025</f>
        <v>546581.47225</v>
      </c>
      <c r="D12" s="91" t="n">
        <f aca="false">C12*2.1</f>
        <v>1147821.091725</v>
      </c>
      <c r="E12" s="91" t="n">
        <f aca="false">D12/1000</f>
        <v>1147.821091725</v>
      </c>
      <c r="F12" s="91" t="n">
        <f aca="false">D12*0.7</f>
        <v>803474.7642075</v>
      </c>
      <c r="G12" s="92" t="n">
        <f aca="false">F12/1000</f>
        <v>803.4747642075</v>
      </c>
    </row>
    <row collapsed="false" customFormat="false" customHeight="true" hidden="false" ht="21" outlineLevel="0" r="13">
      <c r="A13" s="90" t="s">
        <v>39</v>
      </c>
      <c r="B13" s="91" t="n">
        <v>87188.3</v>
      </c>
      <c r="C13" s="88" t="n">
        <f aca="false">B13*0.3025</f>
        <v>26374.46075</v>
      </c>
      <c r="D13" s="91" t="n">
        <f aca="false">C13*2.1</f>
        <v>55386.367575</v>
      </c>
      <c r="E13" s="91" t="n">
        <f aca="false">D13/1000</f>
        <v>55.386367575</v>
      </c>
      <c r="F13" s="91" t="n">
        <f aca="false">D13*0.7</f>
        <v>38770.4573025</v>
      </c>
      <c r="G13" s="92" t="n">
        <f aca="false">F13/1000</f>
        <v>38.7704573025</v>
      </c>
    </row>
    <row collapsed="false" customFormat="false" customHeight="true" hidden="false" ht="21" outlineLevel="0" r="14">
      <c r="A14" s="90" t="s">
        <v>40</v>
      </c>
      <c r="B14" s="91" t="n">
        <v>496977</v>
      </c>
      <c r="C14" s="88" t="n">
        <f aca="false">B14*0.3025</f>
        <v>150335.5425</v>
      </c>
      <c r="D14" s="91" t="n">
        <f aca="false">C14*2.1</f>
        <v>315704.63925</v>
      </c>
      <c r="E14" s="91" t="n">
        <f aca="false">D14/1000</f>
        <v>315.70463925</v>
      </c>
      <c r="F14" s="91" t="n">
        <f aca="false">D14*0.7</f>
        <v>220993.247475</v>
      </c>
      <c r="G14" s="92" t="n">
        <f aca="false">F14/1000</f>
        <v>220.993247475</v>
      </c>
    </row>
    <row collapsed="false" customFormat="false" customHeight="true" hidden="false" ht="21" outlineLevel="0" r="15">
      <c r="A15" s="90" t="s">
        <v>41</v>
      </c>
      <c r="B15" s="91" t="n">
        <v>293938.4</v>
      </c>
      <c r="C15" s="88" t="n">
        <f aca="false">B15*0.3025</f>
        <v>88916.366</v>
      </c>
      <c r="D15" s="91" t="n">
        <f aca="false">C15*2.1</f>
        <v>186724.3686</v>
      </c>
      <c r="E15" s="91" t="n">
        <f aca="false">D15/1000</f>
        <v>186.7243686</v>
      </c>
      <c r="F15" s="91" t="n">
        <f aca="false">D15*0.7</f>
        <v>130707.05802</v>
      </c>
      <c r="G15" s="92" t="n">
        <f aca="false">F15/1000</f>
        <v>130.70705802</v>
      </c>
    </row>
    <row collapsed="false" customFormat="false" customHeight="true" hidden="false" ht="21" outlineLevel="0" r="16">
      <c r="A16" s="90" t="s">
        <v>42</v>
      </c>
      <c r="B16" s="91" t="n">
        <v>75817</v>
      </c>
      <c r="C16" s="88" t="n">
        <f aca="false">B16*0.3025</f>
        <v>22934.6425</v>
      </c>
      <c r="D16" s="91" t="n">
        <f aca="false">C16*2.1</f>
        <v>48162.74925</v>
      </c>
      <c r="E16" s="91" t="n">
        <f aca="false">D16/1000</f>
        <v>48.16274925</v>
      </c>
      <c r="F16" s="91" t="n">
        <f aca="false">D16*0.7</f>
        <v>33713.924475</v>
      </c>
      <c r="G16" s="92" t="n">
        <f aca="false">F16/1000</f>
        <v>33.713924475</v>
      </c>
    </row>
    <row collapsed="false" customFormat="false" customHeight="true" hidden="false" ht="21" outlineLevel="0" r="17">
      <c r="A17" s="93" t="s">
        <v>43</v>
      </c>
      <c r="B17" s="94" t="n">
        <v>803001</v>
      </c>
      <c r="C17" s="95" t="n">
        <f aca="false">B17*0.3025</f>
        <v>242907.8025</v>
      </c>
      <c r="D17" s="94" t="n">
        <f aca="false">C17*2.1</f>
        <v>510106.38525</v>
      </c>
      <c r="E17" s="94" t="n">
        <f aca="false">D17/1000</f>
        <v>510.10638525</v>
      </c>
      <c r="F17" s="94" t="n">
        <f aca="false">D17*0.7</f>
        <v>357074.469675</v>
      </c>
      <c r="G17" s="96" t="n">
        <f aca="false">F17/1000</f>
        <v>357.074469675</v>
      </c>
    </row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2013-09-26T02:15:24Z</dcterms:created>
  <dc:creator>팔당</dc:creator>
  <cp:lastModifiedBy>센터장</cp:lastModifiedBy>
  <dcterms:modified xsi:type="dcterms:W3CDTF">2013-10-17T00:57:17Z</dcterms:modified>
  <cp:revision>0</cp:revision>
</cp:coreProperties>
</file>