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13215" windowHeight="7005"/>
  </bookViews>
  <sheets>
    <sheet name="종합" sheetId="1" r:id="rId1"/>
    <sheet name="무농약" sheetId="3" r:id="rId2"/>
    <sheet name="유기" sheetId="4" r:id="rId3"/>
  </sheets>
  <calcPr calcId="125725"/>
</workbook>
</file>

<file path=xl/calcChain.xml><?xml version="1.0" encoding="utf-8"?>
<calcChain xmlns="http://schemas.openxmlformats.org/spreadsheetml/2006/main">
  <c r="P9" i="1"/>
  <c r="L9"/>
  <c r="D100" i="3"/>
  <c r="E100" s="1"/>
  <c r="D99"/>
  <c r="E99" s="1"/>
  <c r="F99" s="1"/>
  <c r="D98"/>
  <c r="E98" s="1"/>
  <c r="D97"/>
  <c r="D95" s="1"/>
  <c r="D96"/>
  <c r="E96" s="1"/>
  <c r="C95"/>
  <c r="D94"/>
  <c r="E94" s="1"/>
  <c r="D93"/>
  <c r="E93" s="1"/>
  <c r="E92"/>
  <c r="G92" s="1"/>
  <c r="H92" s="1"/>
  <c r="D92"/>
  <c r="D91"/>
  <c r="E91" s="1"/>
  <c r="C90"/>
  <c r="D89"/>
  <c r="E89" s="1"/>
  <c r="D88"/>
  <c r="E88" s="1"/>
  <c r="G88" s="1"/>
  <c r="H88" s="1"/>
  <c r="D87"/>
  <c r="E87" s="1"/>
  <c r="D86"/>
  <c r="E86" s="1"/>
  <c r="D85"/>
  <c r="E85" s="1"/>
  <c r="D84"/>
  <c r="E84" s="1"/>
  <c r="C83"/>
  <c r="D82"/>
  <c r="E82" s="1"/>
  <c r="D81"/>
  <c r="E81" s="1"/>
  <c r="D80"/>
  <c r="E80" s="1"/>
  <c r="D79"/>
  <c r="E79" s="1"/>
  <c r="D78"/>
  <c r="E78" s="1"/>
  <c r="D77"/>
  <c r="E77" s="1"/>
  <c r="C76"/>
  <c r="D75"/>
  <c r="E75" s="1"/>
  <c r="D74"/>
  <c r="E74" s="1"/>
  <c r="C73"/>
  <c r="D72"/>
  <c r="E72" s="1"/>
  <c r="D71"/>
  <c r="E71" s="1"/>
  <c r="E70"/>
  <c r="G70" s="1"/>
  <c r="H70" s="1"/>
  <c r="D70"/>
  <c r="D69"/>
  <c r="E69" s="1"/>
  <c r="D68"/>
  <c r="E68" s="1"/>
  <c r="D67"/>
  <c r="E67" s="1"/>
  <c r="D66"/>
  <c r="E66" s="1"/>
  <c r="D65"/>
  <c r="E65" s="1"/>
  <c r="D64"/>
  <c r="C64"/>
  <c r="D63"/>
  <c r="E63" s="1"/>
  <c r="D62"/>
  <c r="E62" s="1"/>
  <c r="D61"/>
  <c r="E61" s="1"/>
  <c r="D60"/>
  <c r="E60" s="1"/>
  <c r="D59"/>
  <c r="E59" s="1"/>
  <c r="D58"/>
  <c r="E58" s="1"/>
  <c r="E57"/>
  <c r="F57" s="1"/>
  <c r="D57"/>
  <c r="D56"/>
  <c r="E56" s="1"/>
  <c r="C55"/>
  <c r="D54"/>
  <c r="E54" s="1"/>
  <c r="D53"/>
  <c r="E53" s="1"/>
  <c r="D52"/>
  <c r="E52" s="1"/>
  <c r="D51"/>
  <c r="E51" s="1"/>
  <c r="D50"/>
  <c r="E50" s="1"/>
  <c r="D49"/>
  <c r="E49" s="1"/>
  <c r="D48"/>
  <c r="E48" s="1"/>
  <c r="D47"/>
  <c r="E47" s="1"/>
  <c r="D46"/>
  <c r="E46" s="1"/>
  <c r="D45"/>
  <c r="E45" s="1"/>
  <c r="D44"/>
  <c r="E44" s="1"/>
  <c r="D43"/>
  <c r="E43" s="1"/>
  <c r="C42"/>
  <c r="D41"/>
  <c r="E41" s="1"/>
  <c r="F41" s="1"/>
  <c r="D40"/>
  <c r="E40" s="1"/>
  <c r="D39"/>
  <c r="E39" s="1"/>
  <c r="F39" s="1"/>
  <c r="D38"/>
  <c r="C38"/>
  <c r="D37"/>
  <c r="E37" s="1"/>
  <c r="F37" s="1"/>
  <c r="D36"/>
  <c r="E36" s="1"/>
  <c r="D35"/>
  <c r="E35" s="1"/>
  <c r="D34"/>
  <c r="E34" s="1"/>
  <c r="D33"/>
  <c r="E33" s="1"/>
  <c r="D32"/>
  <c r="E32" s="1"/>
  <c r="D31"/>
  <c r="E31" s="1"/>
  <c r="C30"/>
  <c r="E29"/>
  <c r="F29" s="1"/>
  <c r="D29"/>
  <c r="D28"/>
  <c r="E28" s="1"/>
  <c r="D27"/>
  <c r="E27" s="1"/>
  <c r="E26"/>
  <c r="G26" s="1"/>
  <c r="D26"/>
  <c r="D25" s="1"/>
  <c r="C25"/>
  <c r="E24"/>
  <c r="G24" s="1"/>
  <c r="H24" s="1"/>
  <c r="D24"/>
  <c r="D23"/>
  <c r="E23" s="1"/>
  <c r="D22"/>
  <c r="E22" s="1"/>
  <c r="D21"/>
  <c r="E21" s="1"/>
  <c r="D20"/>
  <c r="E20" s="1"/>
  <c r="D19"/>
  <c r="E19" s="1"/>
  <c r="D18"/>
  <c r="E18" s="1"/>
  <c r="D17"/>
  <c r="C17"/>
  <c r="D16"/>
  <c r="E16" s="1"/>
  <c r="D15"/>
  <c r="E15" s="1"/>
  <c r="D14"/>
  <c r="E14" s="1"/>
  <c r="D13"/>
  <c r="E13" s="1"/>
  <c r="D12"/>
  <c r="E12" s="1"/>
  <c r="D11"/>
  <c r="E11" s="1"/>
  <c r="C10"/>
  <c r="D9"/>
  <c r="E9" s="1"/>
  <c r="D8"/>
  <c r="E8" s="1"/>
  <c r="D7"/>
  <c r="E7" s="1"/>
  <c r="D6"/>
  <c r="E6" s="1"/>
  <c r="D5"/>
  <c r="E5" s="1"/>
  <c r="C4"/>
  <c r="C3" s="1"/>
  <c r="C17" i="4"/>
  <c r="D17" s="1"/>
  <c r="C16"/>
  <c r="D16" s="1"/>
  <c r="C15"/>
  <c r="D15" s="1"/>
  <c r="C14"/>
  <c r="D14" s="1"/>
  <c r="C13"/>
  <c r="D13" s="1"/>
  <c r="C12"/>
  <c r="D12" s="1"/>
  <c r="C11"/>
  <c r="D11" s="1"/>
  <c r="C10"/>
  <c r="D10" s="1"/>
  <c r="C9"/>
  <c r="D9" s="1"/>
  <c r="C8"/>
  <c r="D8" s="1"/>
  <c r="C7"/>
  <c r="D7" s="1"/>
  <c r="C6"/>
  <c r="D6" s="1"/>
  <c r="C5"/>
  <c r="D5" s="1"/>
  <c r="C4"/>
  <c r="D4" s="1"/>
  <c r="C3" l="1"/>
  <c r="D30" i="3"/>
  <c r="E97"/>
  <c r="F97" s="1"/>
  <c r="D4"/>
  <c r="D55"/>
  <c r="D10"/>
  <c r="D90"/>
  <c r="D42"/>
  <c r="D73"/>
  <c r="D76"/>
  <c r="D83"/>
  <c r="G6"/>
  <c r="H6" s="1"/>
  <c r="F6"/>
  <c r="G8"/>
  <c r="H8" s="1"/>
  <c r="F8"/>
  <c r="G12"/>
  <c r="H12" s="1"/>
  <c r="F12"/>
  <c r="G14"/>
  <c r="H14" s="1"/>
  <c r="F14"/>
  <c r="G16"/>
  <c r="H16" s="1"/>
  <c r="F16"/>
  <c r="G18"/>
  <c r="E17"/>
  <c r="F17" s="1"/>
  <c r="F18"/>
  <c r="G20"/>
  <c r="H20" s="1"/>
  <c r="F20"/>
  <c r="G22"/>
  <c r="H22" s="1"/>
  <c r="F22"/>
  <c r="H26"/>
  <c r="G28"/>
  <c r="H28" s="1"/>
  <c r="F28"/>
  <c r="F31"/>
  <c r="G31"/>
  <c r="E30"/>
  <c r="F30" s="1"/>
  <c r="F33"/>
  <c r="G33"/>
  <c r="H33" s="1"/>
  <c r="F35"/>
  <c r="G35"/>
  <c r="H35" s="1"/>
  <c r="G44"/>
  <c r="H44" s="1"/>
  <c r="F44"/>
  <c r="G46"/>
  <c r="H46" s="1"/>
  <c r="F46"/>
  <c r="G48"/>
  <c r="H48" s="1"/>
  <c r="F48"/>
  <c r="G50"/>
  <c r="H50" s="1"/>
  <c r="F50"/>
  <c r="G52"/>
  <c r="H52" s="1"/>
  <c r="F52"/>
  <c r="G54"/>
  <c r="H54" s="1"/>
  <c r="F54"/>
  <c r="G56"/>
  <c r="E55"/>
  <c r="F55" s="1"/>
  <c r="F56"/>
  <c r="F59"/>
  <c r="G59"/>
  <c r="H59" s="1"/>
  <c r="F61"/>
  <c r="G61"/>
  <c r="H61" s="1"/>
  <c r="F63"/>
  <c r="G63"/>
  <c r="H63" s="1"/>
  <c r="F65"/>
  <c r="G65"/>
  <c r="E64"/>
  <c r="F64" s="1"/>
  <c r="F67"/>
  <c r="G67"/>
  <c r="H67" s="1"/>
  <c r="F69"/>
  <c r="G69"/>
  <c r="H69" s="1"/>
  <c r="G72"/>
  <c r="H72" s="1"/>
  <c r="F72"/>
  <c r="G74"/>
  <c r="E73"/>
  <c r="F73" s="1"/>
  <c r="F74"/>
  <c r="G78"/>
  <c r="H78" s="1"/>
  <c r="F78"/>
  <c r="G80"/>
  <c r="H80" s="1"/>
  <c r="F80"/>
  <c r="G82"/>
  <c r="H82" s="1"/>
  <c r="F82"/>
  <c r="G84"/>
  <c r="E83"/>
  <c r="F83" s="1"/>
  <c r="F84"/>
  <c r="G86"/>
  <c r="H86" s="1"/>
  <c r="F86"/>
  <c r="F89"/>
  <c r="G89"/>
  <c r="H89" s="1"/>
  <c r="F91"/>
  <c r="G91"/>
  <c r="E90"/>
  <c r="F90" s="1"/>
  <c r="G94"/>
  <c r="H94" s="1"/>
  <c r="F94"/>
  <c r="G96"/>
  <c r="E95"/>
  <c r="F95" s="1"/>
  <c r="F96"/>
  <c r="G100"/>
  <c r="H100" s="1"/>
  <c r="F100"/>
  <c r="F5"/>
  <c r="G5"/>
  <c r="E4"/>
  <c r="F7"/>
  <c r="G7"/>
  <c r="H7" s="1"/>
  <c r="F9"/>
  <c r="G9"/>
  <c r="H9" s="1"/>
  <c r="F11"/>
  <c r="G11"/>
  <c r="E10"/>
  <c r="F10" s="1"/>
  <c r="F13"/>
  <c r="G13"/>
  <c r="H13" s="1"/>
  <c r="F15"/>
  <c r="G15"/>
  <c r="H15" s="1"/>
  <c r="F19"/>
  <c r="G19"/>
  <c r="H19" s="1"/>
  <c r="F21"/>
  <c r="G21"/>
  <c r="H21" s="1"/>
  <c r="F23"/>
  <c r="G23"/>
  <c r="H23" s="1"/>
  <c r="F27"/>
  <c r="E25"/>
  <c r="F25" s="1"/>
  <c r="G27"/>
  <c r="H27" s="1"/>
  <c r="G32"/>
  <c r="H32" s="1"/>
  <c r="F32"/>
  <c r="G34"/>
  <c r="H34" s="1"/>
  <c r="F34"/>
  <c r="G36"/>
  <c r="H36" s="1"/>
  <c r="F36"/>
  <c r="G40"/>
  <c r="H40" s="1"/>
  <c r="F40"/>
  <c r="E38"/>
  <c r="F38" s="1"/>
  <c r="F43"/>
  <c r="G43"/>
  <c r="E42"/>
  <c r="F42" s="1"/>
  <c r="F45"/>
  <c r="G45"/>
  <c r="H45" s="1"/>
  <c r="F47"/>
  <c r="G47"/>
  <c r="H47" s="1"/>
  <c r="F49"/>
  <c r="G49"/>
  <c r="H49" s="1"/>
  <c r="F51"/>
  <c r="G51"/>
  <c r="H51" s="1"/>
  <c r="F53"/>
  <c r="G53"/>
  <c r="H53" s="1"/>
  <c r="G58"/>
  <c r="H58" s="1"/>
  <c r="F58"/>
  <c r="G60"/>
  <c r="H60" s="1"/>
  <c r="F60"/>
  <c r="G62"/>
  <c r="H62" s="1"/>
  <c r="F62"/>
  <c r="G66"/>
  <c r="H66" s="1"/>
  <c r="F66"/>
  <c r="G68"/>
  <c r="H68" s="1"/>
  <c r="F68"/>
  <c r="F71"/>
  <c r="G71"/>
  <c r="H71" s="1"/>
  <c r="F75"/>
  <c r="G75"/>
  <c r="H75" s="1"/>
  <c r="F77"/>
  <c r="G77"/>
  <c r="E76"/>
  <c r="F76" s="1"/>
  <c r="F79"/>
  <c r="G79"/>
  <c r="H79" s="1"/>
  <c r="F81"/>
  <c r="G81"/>
  <c r="H81" s="1"/>
  <c r="F85"/>
  <c r="G85"/>
  <c r="H85" s="1"/>
  <c r="F87"/>
  <c r="G87"/>
  <c r="H87" s="1"/>
  <c r="F93"/>
  <c r="G93"/>
  <c r="H93" s="1"/>
  <c r="G98"/>
  <c r="H98" s="1"/>
  <c r="F98"/>
  <c r="F24"/>
  <c r="F26"/>
  <c r="G29"/>
  <c r="H29" s="1"/>
  <c r="G37"/>
  <c r="H37" s="1"/>
  <c r="G39"/>
  <c r="G41"/>
  <c r="H41" s="1"/>
  <c r="G57"/>
  <c r="H57" s="1"/>
  <c r="F70"/>
  <c r="F88"/>
  <c r="F92"/>
  <c r="G97"/>
  <c r="H97" s="1"/>
  <c r="G99"/>
  <c r="H99" s="1"/>
  <c r="F5" i="4"/>
  <c r="G5" s="1"/>
  <c r="E5"/>
  <c r="F7"/>
  <c r="G7" s="1"/>
  <c r="E7"/>
  <c r="F9"/>
  <c r="G9" s="1"/>
  <c r="E9"/>
  <c r="F11"/>
  <c r="G11" s="1"/>
  <c r="E11"/>
  <c r="F13"/>
  <c r="G13" s="1"/>
  <c r="E13"/>
  <c r="F15"/>
  <c r="G15" s="1"/>
  <c r="E15"/>
  <c r="F17"/>
  <c r="G17" s="1"/>
  <c r="E17"/>
  <c r="E4"/>
  <c r="D3"/>
  <c r="F4"/>
  <c r="E6"/>
  <c r="F6"/>
  <c r="G6" s="1"/>
  <c r="E8"/>
  <c r="F8"/>
  <c r="G8" s="1"/>
  <c r="E10"/>
  <c r="F10"/>
  <c r="G10" s="1"/>
  <c r="E12"/>
  <c r="F12"/>
  <c r="G12" s="1"/>
  <c r="E14"/>
  <c r="F14"/>
  <c r="G14" s="1"/>
  <c r="E16"/>
  <c r="F16"/>
  <c r="G16" s="1"/>
  <c r="D3" i="3" l="1"/>
  <c r="H39"/>
  <c r="H38" s="1"/>
  <c r="G38"/>
  <c r="H77"/>
  <c r="H76" s="1"/>
  <c r="G76"/>
  <c r="H11"/>
  <c r="H10" s="1"/>
  <c r="G10"/>
  <c r="F4"/>
  <c r="F3" s="1"/>
  <c r="E3"/>
  <c r="G73"/>
  <c r="H74"/>
  <c r="H73" s="1"/>
  <c r="H65"/>
  <c r="H64" s="1"/>
  <c r="G64"/>
  <c r="G55"/>
  <c r="H56"/>
  <c r="H55" s="1"/>
  <c r="H31"/>
  <c r="H30" s="1"/>
  <c r="G30"/>
  <c r="G17"/>
  <c r="H18"/>
  <c r="H17" s="1"/>
  <c r="H43"/>
  <c r="H42" s="1"/>
  <c r="G42"/>
  <c r="H5"/>
  <c r="H4" s="1"/>
  <c r="G4"/>
  <c r="G95"/>
  <c r="H96"/>
  <c r="H95" s="1"/>
  <c r="H91"/>
  <c r="H90" s="1"/>
  <c r="G90"/>
  <c r="G83"/>
  <c r="H84"/>
  <c r="H83" s="1"/>
  <c r="H25"/>
  <c r="G25"/>
  <c r="G4" i="4"/>
  <c r="G3" s="1"/>
  <c r="F3"/>
  <c r="E3"/>
  <c r="H3" i="3" l="1"/>
  <c r="G3"/>
  <c r="D9" i="1"/>
  <c r="D8"/>
  <c r="C9"/>
  <c r="C8"/>
  <c r="D7"/>
  <c r="C7"/>
  <c r="E11"/>
  <c r="F11" s="1"/>
  <c r="H11" s="1"/>
  <c r="E12"/>
  <c r="F12" s="1"/>
  <c r="H12" s="1"/>
  <c r="I12" s="1"/>
  <c r="E13"/>
  <c r="F13" s="1"/>
  <c r="H13" s="1"/>
  <c r="I13" s="1"/>
  <c r="E14"/>
  <c r="F14" s="1"/>
  <c r="E15"/>
  <c r="F15" s="1"/>
  <c r="H15" s="1"/>
  <c r="I15" s="1"/>
  <c r="E16"/>
  <c r="F16" s="1"/>
  <c r="H16" s="1"/>
  <c r="I16" s="1"/>
  <c r="E17"/>
  <c r="F17" s="1"/>
  <c r="H17" s="1"/>
  <c r="I17" s="1"/>
  <c r="E18"/>
  <c r="F18" s="1"/>
  <c r="E19"/>
  <c r="F19" s="1"/>
  <c r="H19" s="1"/>
  <c r="I19" s="1"/>
  <c r="E20"/>
  <c r="F20" s="1"/>
  <c r="H20" s="1"/>
  <c r="I20" s="1"/>
  <c r="E21"/>
  <c r="F21" s="1"/>
  <c r="H21" s="1"/>
  <c r="I21" s="1"/>
  <c r="E22"/>
  <c r="F22" s="1"/>
  <c r="E23"/>
  <c r="F23" s="1"/>
  <c r="H23" s="1"/>
  <c r="I23" s="1"/>
  <c r="E24"/>
  <c r="F24" s="1"/>
  <c r="H24" s="1"/>
  <c r="I24" s="1"/>
  <c r="E25"/>
  <c r="F25" s="1"/>
  <c r="H25" s="1"/>
  <c r="I25" s="1"/>
  <c r="E26"/>
  <c r="F26" s="1"/>
  <c r="E27"/>
  <c r="F27" s="1"/>
  <c r="H27" s="1"/>
  <c r="I27" s="1"/>
  <c r="E28"/>
  <c r="F28" s="1"/>
  <c r="H28" s="1"/>
  <c r="I28" s="1"/>
  <c r="E29"/>
  <c r="F29" s="1"/>
  <c r="H29" s="1"/>
  <c r="I29" s="1"/>
  <c r="E30"/>
  <c r="F30" s="1"/>
  <c r="E31"/>
  <c r="F31" s="1"/>
  <c r="H31" s="1"/>
  <c r="I31" s="1"/>
  <c r="E32"/>
  <c r="F32" s="1"/>
  <c r="H32" s="1"/>
  <c r="I32" s="1"/>
  <c r="E33"/>
  <c r="F33" s="1"/>
  <c r="H33" s="1"/>
  <c r="I33" s="1"/>
  <c r="E34"/>
  <c r="F34" s="1"/>
  <c r="E35"/>
  <c r="F35" s="1"/>
  <c r="H35" s="1"/>
  <c r="I35" s="1"/>
  <c r="E36"/>
  <c r="F36" s="1"/>
  <c r="H36" s="1"/>
  <c r="I36" s="1"/>
  <c r="E37"/>
  <c r="F37" s="1"/>
  <c r="H37" s="1"/>
  <c r="I37" s="1"/>
  <c r="E38"/>
  <c r="F38" s="1"/>
  <c r="E39"/>
  <c r="F39" s="1"/>
  <c r="H39" s="1"/>
  <c r="I39" s="1"/>
  <c r="E40"/>
  <c r="F40" s="1"/>
  <c r="H40" s="1"/>
  <c r="I40" s="1"/>
  <c r="E41"/>
  <c r="F41" s="1"/>
  <c r="H41" s="1"/>
  <c r="I41" s="1"/>
  <c r="E10"/>
  <c r="F10" s="1"/>
  <c r="H38" l="1"/>
  <c r="I38" s="1"/>
  <c r="G38"/>
  <c r="H30"/>
  <c r="I30" s="1"/>
  <c r="G30"/>
  <c r="H22"/>
  <c r="I22" s="1"/>
  <c r="G22"/>
  <c r="H14"/>
  <c r="I14" s="1"/>
  <c r="G14"/>
  <c r="F8"/>
  <c r="F7"/>
  <c r="G10"/>
  <c r="H10"/>
  <c r="H34"/>
  <c r="I34" s="1"/>
  <c r="G34"/>
  <c r="H26"/>
  <c r="I26" s="1"/>
  <c r="G26"/>
  <c r="H18"/>
  <c r="I18" s="1"/>
  <c r="G18"/>
  <c r="G40"/>
  <c r="G36"/>
  <c r="G32"/>
  <c r="G28"/>
  <c r="G24"/>
  <c r="G20"/>
  <c r="G16"/>
  <c r="G12"/>
  <c r="I11"/>
  <c r="I9" s="1"/>
  <c r="E7"/>
  <c r="E8"/>
  <c r="E9"/>
  <c r="G41"/>
  <c r="G39"/>
  <c r="G37"/>
  <c r="G35"/>
  <c r="G33"/>
  <c r="G31"/>
  <c r="G29"/>
  <c r="G27"/>
  <c r="G25"/>
  <c r="G23"/>
  <c r="G21"/>
  <c r="G19"/>
  <c r="G17"/>
  <c r="G15"/>
  <c r="G13"/>
  <c r="G11"/>
  <c r="F9"/>
  <c r="G9" l="1"/>
  <c r="H8"/>
  <c r="H7"/>
  <c r="I10"/>
  <c r="H9"/>
  <c r="G8"/>
  <c r="G7"/>
  <c r="I8" l="1"/>
  <c r="I7"/>
</calcChain>
</file>

<file path=xl/sharedStrings.xml><?xml version="1.0" encoding="utf-8"?>
<sst xmlns="http://schemas.openxmlformats.org/spreadsheetml/2006/main" count="230" uniqueCount="160">
  <si>
    <t xml:space="preserve">가평군 </t>
  </si>
  <si>
    <t>무농약</t>
  </si>
  <si>
    <t>유기</t>
  </si>
  <si>
    <t xml:space="preserve">고양시 </t>
  </si>
  <si>
    <t xml:space="preserve">광주시 </t>
  </si>
  <si>
    <t xml:space="preserve">김포시 </t>
  </si>
  <si>
    <t xml:space="preserve">남양주시 </t>
  </si>
  <si>
    <t xml:space="preserve">부천시 </t>
  </si>
  <si>
    <t xml:space="preserve">성남시 </t>
  </si>
  <si>
    <t xml:space="preserve">수원시 </t>
  </si>
  <si>
    <t xml:space="preserve">안성시 </t>
  </si>
  <si>
    <t xml:space="preserve">양평군 </t>
  </si>
  <si>
    <t xml:space="preserve">여주군 </t>
  </si>
  <si>
    <t xml:space="preserve">연천군 </t>
  </si>
  <si>
    <t xml:space="preserve">용인시 </t>
  </si>
  <si>
    <t xml:space="preserve">의왕시 </t>
  </si>
  <si>
    <t xml:space="preserve">이천시 </t>
  </si>
  <si>
    <t xml:space="preserve">파주시 </t>
  </si>
  <si>
    <t xml:space="preserve">평택시 </t>
  </si>
  <si>
    <t xml:space="preserve">포천시 </t>
  </si>
  <si>
    <t xml:space="preserve">화성시 </t>
  </si>
  <si>
    <t>조곡생산량(kg)</t>
    <phoneticPr fontId="5" type="noConversion"/>
  </si>
  <si>
    <t>조곡(ton)</t>
    <phoneticPr fontId="5" type="noConversion"/>
  </si>
  <si>
    <t>쌀생산량(kg)</t>
    <phoneticPr fontId="5" type="noConversion"/>
  </si>
  <si>
    <t>쌀(ton)</t>
    <phoneticPr fontId="5" type="noConversion"/>
  </si>
  <si>
    <t>시군</t>
    <phoneticPr fontId="5" type="noConversion"/>
  </si>
  <si>
    <t>인증종류</t>
    <phoneticPr fontId="2" type="noConversion"/>
  </si>
  <si>
    <t>인원</t>
    <phoneticPr fontId="2" type="noConversion"/>
  </si>
  <si>
    <t>가평군</t>
  </si>
  <si>
    <t>고양시</t>
  </si>
  <si>
    <t>광주시</t>
  </si>
  <si>
    <t>김포시</t>
  </si>
  <si>
    <t>남양주시</t>
  </si>
  <si>
    <t>부천시</t>
  </si>
  <si>
    <t>성남시</t>
  </si>
  <si>
    <t>안성시</t>
  </si>
  <si>
    <t>양평군</t>
  </si>
  <si>
    <t>여주군</t>
  </si>
  <si>
    <t>연천군</t>
  </si>
  <si>
    <t>용인시</t>
  </si>
  <si>
    <t>의왕시</t>
  </si>
  <si>
    <t>이천시</t>
  </si>
  <si>
    <t>파주시</t>
  </si>
  <si>
    <t>평택시</t>
  </si>
  <si>
    <t>포천시</t>
  </si>
  <si>
    <t>화성시</t>
  </si>
  <si>
    <t>총계</t>
    <phoneticPr fontId="2" type="noConversion"/>
  </si>
  <si>
    <t>무농약</t>
    <phoneticPr fontId="2" type="noConversion"/>
  </si>
  <si>
    <t>유기</t>
    <phoneticPr fontId="2" type="noConversion"/>
  </si>
  <si>
    <t>생산량</t>
    <phoneticPr fontId="2" type="noConversion"/>
  </si>
  <si>
    <t>도정율</t>
    <phoneticPr fontId="2" type="noConversion"/>
  </si>
  <si>
    <t>평</t>
    <phoneticPr fontId="2" type="noConversion"/>
  </si>
  <si>
    <r>
      <t>2013</t>
    </r>
    <r>
      <rPr>
        <b/>
        <sz val="12"/>
        <rFont val="돋움"/>
        <family val="3"/>
        <charset val="129"/>
      </rPr>
      <t>년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경기도친환경쌀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추정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생산량</t>
    </r>
    <r>
      <rPr>
        <b/>
        <sz val="12"/>
        <rFont val="Arial"/>
        <family val="2"/>
      </rPr>
      <t>(2013.9.11</t>
    </r>
    <r>
      <rPr>
        <b/>
        <sz val="12"/>
        <rFont val="돋움"/>
        <family val="3"/>
        <charset val="129"/>
      </rPr>
      <t>현재</t>
    </r>
    <r>
      <rPr>
        <b/>
        <sz val="12"/>
        <rFont val="Arial"/>
        <family val="2"/>
      </rPr>
      <t>)</t>
    </r>
    <phoneticPr fontId="2" type="noConversion"/>
  </si>
  <si>
    <t>경기도 시군별 유기쌀 생산량(2013.9.11현재)</t>
    <phoneticPr fontId="5" type="noConversion"/>
  </si>
  <si>
    <t>시군</t>
    <phoneticPr fontId="5" type="noConversion"/>
  </si>
  <si>
    <t>면적(㎡)</t>
    <phoneticPr fontId="5" type="noConversion"/>
  </si>
  <si>
    <t>면적(평)</t>
    <phoneticPr fontId="5" type="noConversion"/>
  </si>
  <si>
    <t>조곡생산량(kg)</t>
    <phoneticPr fontId="5" type="noConversion"/>
  </si>
  <si>
    <t>조곡(ton)</t>
    <phoneticPr fontId="5" type="noConversion"/>
  </si>
  <si>
    <t>쌀생산량(kg)</t>
    <phoneticPr fontId="5" type="noConversion"/>
  </si>
  <si>
    <t>쌀(ton)</t>
    <phoneticPr fontId="5" type="noConversion"/>
  </si>
  <si>
    <t>합계</t>
    <phoneticPr fontId="5" type="noConversion"/>
  </si>
  <si>
    <t>읍면</t>
    <phoneticPr fontId="5" type="noConversion"/>
  </si>
  <si>
    <t>면적(㎡)</t>
    <phoneticPr fontId="5" type="noConversion"/>
  </si>
  <si>
    <t>면적(평)</t>
    <phoneticPr fontId="5" type="noConversion"/>
  </si>
  <si>
    <t>합계</t>
    <phoneticPr fontId="5" type="noConversion"/>
  </si>
  <si>
    <t>소계</t>
    <phoneticPr fontId="5" type="noConversion"/>
  </si>
  <si>
    <t>가평읍</t>
  </si>
  <si>
    <t>북면</t>
  </si>
  <si>
    <t>설악면</t>
  </si>
  <si>
    <t>청평면</t>
  </si>
  <si>
    <t>하면</t>
  </si>
  <si>
    <t>덕양구 관산동</t>
  </si>
  <si>
    <t>일산동구 장항동</t>
  </si>
  <si>
    <t>일산서구 가좌동</t>
  </si>
  <si>
    <t>일산서구 구산동</t>
  </si>
  <si>
    <t>일산서구 대화동</t>
  </si>
  <si>
    <t>일산서구 덕이동</t>
  </si>
  <si>
    <t>곤지암읍</t>
  </si>
  <si>
    <t>남종면</t>
  </si>
  <si>
    <t>도척면</t>
  </si>
  <si>
    <t>오포읍</t>
  </si>
  <si>
    <t>장지동</t>
  </si>
  <si>
    <t>중부면</t>
  </si>
  <si>
    <t>초월읍</t>
  </si>
  <si>
    <t>고촌읍</t>
  </si>
  <si>
    <t>대곶면</t>
  </si>
  <si>
    <t>장기동</t>
  </si>
  <si>
    <t>하성면</t>
  </si>
  <si>
    <t>수동면</t>
  </si>
  <si>
    <t>와부읍</t>
  </si>
  <si>
    <t>조안면</t>
  </si>
  <si>
    <t>오정구 오정동</t>
  </si>
  <si>
    <t>분당구 운중동</t>
  </si>
  <si>
    <t>가사동</t>
  </si>
  <si>
    <t>고삼면</t>
  </si>
  <si>
    <t>원곡면</t>
  </si>
  <si>
    <t>강상면</t>
  </si>
  <si>
    <t>강하면</t>
  </si>
  <si>
    <t>개군면</t>
  </si>
  <si>
    <t>단월면</t>
  </si>
  <si>
    <t>서종면</t>
  </si>
  <si>
    <t>양동면</t>
  </si>
  <si>
    <t>양서면</t>
  </si>
  <si>
    <t>양평읍</t>
  </si>
  <si>
    <t>옥천면</t>
  </si>
  <si>
    <t>용문면</t>
  </si>
  <si>
    <t>지평면</t>
  </si>
  <si>
    <t>청운면</t>
  </si>
  <si>
    <t>가남면</t>
  </si>
  <si>
    <t>강천면</t>
  </si>
  <si>
    <t>금사면</t>
  </si>
  <si>
    <t>능서면</t>
  </si>
  <si>
    <t>대신면</t>
  </si>
  <si>
    <t>여주읍</t>
  </si>
  <si>
    <t>점동면</t>
  </si>
  <si>
    <t>흥천면</t>
  </si>
  <si>
    <t>군남면</t>
  </si>
  <si>
    <t>미산면</t>
  </si>
  <si>
    <t>백학면</t>
  </si>
  <si>
    <t>연천읍</t>
  </si>
  <si>
    <t>전곡읍</t>
  </si>
  <si>
    <t>청산면</t>
  </si>
  <si>
    <t>처인구 이동면</t>
  </si>
  <si>
    <t>월암동</t>
  </si>
  <si>
    <t>초평동</t>
  </si>
  <si>
    <t>대월면</t>
  </si>
  <si>
    <t>마장면</t>
  </si>
  <si>
    <t>부발읍</t>
  </si>
  <si>
    <t>율면</t>
  </si>
  <si>
    <t>율현동</t>
  </si>
  <si>
    <t>장호원읍</t>
  </si>
  <si>
    <t>군내면</t>
  </si>
  <si>
    <t>문산읍</t>
  </si>
  <si>
    <t>연다산동</t>
  </si>
  <si>
    <t>적성면</t>
  </si>
  <si>
    <t>탄현면</t>
  </si>
  <si>
    <t>파평면</t>
  </si>
  <si>
    <t>오성면</t>
  </si>
  <si>
    <t>팽성읍</t>
  </si>
  <si>
    <t>관인면</t>
  </si>
  <si>
    <t>봉담읍</t>
  </si>
  <si>
    <t>양감면</t>
  </si>
  <si>
    <t>우정읍</t>
  </si>
  <si>
    <t>정남면</t>
  </si>
  <si>
    <t>향남읍</t>
  </si>
  <si>
    <t>산출식</t>
    <phoneticPr fontId="5" type="noConversion"/>
  </si>
  <si>
    <t>평당 생산량</t>
    <phoneticPr fontId="5" type="noConversion"/>
  </si>
  <si>
    <t>도정율</t>
    <phoneticPr fontId="5" type="noConversion"/>
  </si>
  <si>
    <r>
      <t>면적</t>
    </r>
    <r>
      <rPr>
        <b/>
        <sz val="10"/>
        <rFont val="Arial"/>
        <family val="2"/>
      </rPr>
      <t>(</t>
    </r>
    <r>
      <rPr>
        <b/>
        <sz val="10"/>
        <rFont val="돋움"/>
        <family val="3"/>
        <charset val="129"/>
      </rPr>
      <t>㎡</t>
    </r>
    <r>
      <rPr>
        <b/>
        <sz val="10"/>
        <rFont val="Arial"/>
        <family val="2"/>
      </rPr>
      <t>)</t>
    </r>
  </si>
  <si>
    <r>
      <rPr>
        <b/>
        <sz val="10"/>
        <rFont val="돋움"/>
        <family val="3"/>
        <charset val="129"/>
      </rPr>
      <t>면적</t>
    </r>
    <r>
      <rPr>
        <b/>
        <sz val="10"/>
        <rFont val="Arial"/>
        <family val="2"/>
      </rPr>
      <t>(</t>
    </r>
    <r>
      <rPr>
        <b/>
        <sz val="10"/>
        <rFont val="돋움"/>
        <family val="3"/>
        <charset val="129"/>
      </rPr>
      <t>평</t>
    </r>
    <r>
      <rPr>
        <b/>
        <sz val="10"/>
        <rFont val="Arial"/>
        <family val="2"/>
      </rPr>
      <t>)</t>
    </r>
    <phoneticPr fontId="2" type="noConversion"/>
  </si>
  <si>
    <t>경기도 시군별 무농약쌀 생산량(2013.9.11현재)</t>
    <phoneticPr fontId="5" type="noConversion"/>
  </si>
  <si>
    <r>
      <t xml:space="preserve">* </t>
    </r>
    <r>
      <rPr>
        <b/>
        <sz val="10"/>
        <rFont val="돋움"/>
        <family val="3"/>
        <charset val="129"/>
      </rPr>
      <t>품관원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친환경인증자료에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 xml:space="preserve">근거
</t>
    </r>
    <r>
      <rPr>
        <b/>
        <sz val="10"/>
        <rFont val="Arial"/>
        <family val="2"/>
      </rPr>
      <t xml:space="preserve">* </t>
    </r>
    <r>
      <rPr>
        <b/>
        <sz val="10"/>
        <rFont val="돋움"/>
        <family val="3"/>
        <charset val="129"/>
      </rPr>
      <t>평당</t>
    </r>
    <r>
      <rPr>
        <b/>
        <sz val="10"/>
        <rFont val="Arial"/>
        <family val="2"/>
      </rPr>
      <t xml:space="preserve"> 2.1Kg, </t>
    </r>
    <r>
      <rPr>
        <b/>
        <sz val="10"/>
        <rFont val="돋움"/>
        <family val="3"/>
        <charset val="129"/>
      </rPr>
      <t>도정율</t>
    </r>
    <r>
      <rPr>
        <b/>
        <sz val="10"/>
        <rFont val="Arial"/>
        <family val="2"/>
      </rPr>
      <t xml:space="preserve"> 70% </t>
    </r>
    <phoneticPr fontId="2" type="noConversion"/>
  </si>
  <si>
    <t>학생수</t>
    <phoneticPr fontId="2" type="noConversion"/>
  </si>
  <si>
    <r>
      <t>2</t>
    </r>
    <r>
      <rPr>
        <sz val="10"/>
        <rFont val="Arial"/>
        <family val="2"/>
      </rPr>
      <t>014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소비예상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수량</t>
    </r>
    <phoneticPr fontId="2" type="noConversion"/>
  </si>
  <si>
    <r>
      <rPr>
        <sz val="10"/>
        <rFont val="돋움"/>
        <family val="3"/>
        <charset val="129"/>
      </rPr>
      <t>안양</t>
    </r>
    <r>
      <rPr>
        <sz val="10"/>
        <rFont val="Arial"/>
        <family val="2"/>
      </rPr>
      <t>.</t>
    </r>
    <r>
      <rPr>
        <sz val="10"/>
        <rFont val="돋움"/>
        <family val="3"/>
        <charset val="129"/>
      </rPr>
      <t>군포</t>
    </r>
    <r>
      <rPr>
        <sz val="10"/>
        <rFont val="Arial"/>
        <family val="2"/>
      </rPr>
      <t>.</t>
    </r>
    <r>
      <rPr>
        <sz val="10"/>
        <rFont val="돋움"/>
        <family val="3"/>
        <charset val="129"/>
      </rPr>
      <t>의왕</t>
    </r>
    <phoneticPr fontId="2" type="noConversion"/>
  </si>
  <si>
    <t>예상소비량
총계</t>
    <phoneticPr fontId="2" type="noConversion"/>
  </si>
  <si>
    <r>
      <rPr>
        <sz val="10"/>
        <rFont val="돋움"/>
        <family val="3"/>
        <charset val="129"/>
      </rPr>
      <t xml:space="preserve">학교수
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초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중</t>
    </r>
    <r>
      <rPr>
        <sz val="10"/>
        <rFont val="Arial"/>
        <family val="2"/>
      </rPr>
      <t>)</t>
    </r>
    <phoneticPr fontId="2" type="noConversion"/>
  </si>
  <si>
    <t>비고</t>
    <phoneticPr fontId="2" type="noConversion"/>
  </si>
  <si>
    <t>안양유치원포함(7,697명)</t>
    <phoneticPr fontId="2" type="noConversion"/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</si>
</sst>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176" formatCode="0_);[Red]\(0\)"/>
    <numFmt numFmtId="177" formatCode="#,##0_ "/>
    <numFmt numFmtId="178" formatCode="#,##0_);[Red]\(#,##0\)"/>
  </numFmts>
  <fonts count="15">
    <font>
      <sz val="10"/>
      <name val="Arial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name val="Arial"/>
      <family val="2"/>
    </font>
    <font>
      <b/>
      <sz val="12"/>
      <name val="돋움"/>
      <family val="3"/>
      <charset val="129"/>
    </font>
    <font>
      <b/>
      <sz val="10"/>
      <name val="Arial"/>
      <family val="2"/>
    </font>
    <font>
      <b/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0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76" fontId="4" fillId="0" borderId="1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177" fontId="0" fillId="0" borderId="4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177" fontId="0" fillId="0" borderId="10" xfId="0" applyNumberFormat="1" applyBorder="1" applyAlignment="1">
      <alignment vertical="center"/>
    </xf>
    <xf numFmtId="0" fontId="0" fillId="0" borderId="17" xfId="0" applyBorder="1" applyAlignment="1">
      <alignment vertical="center"/>
    </xf>
    <xf numFmtId="177" fontId="0" fillId="0" borderId="17" xfId="0" applyNumberFormat="1" applyBorder="1" applyAlignment="1">
      <alignment vertical="center"/>
    </xf>
    <xf numFmtId="0" fontId="6" fillId="0" borderId="19" xfId="0" applyFont="1" applyBorder="1" applyAlignment="1">
      <alignment horizontal="center" vertical="center"/>
    </xf>
    <xf numFmtId="176" fontId="6" fillId="0" borderId="20" xfId="0" applyNumberFormat="1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176" fontId="4" fillId="2" borderId="10" xfId="0" applyNumberFormat="1" applyFont="1" applyFill="1" applyBorder="1" applyAlignment="1">
      <alignment horizontal="center" vertical="center"/>
    </xf>
    <xf numFmtId="178" fontId="4" fillId="2" borderId="10" xfId="0" applyNumberFormat="1" applyFont="1" applyFill="1" applyBorder="1" applyAlignment="1">
      <alignment horizontal="center" vertical="center"/>
    </xf>
    <xf numFmtId="178" fontId="4" fillId="2" borderId="11" xfId="0" applyNumberFormat="1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41" fontId="12" fillId="0" borderId="17" xfId="1" applyFont="1" applyBorder="1">
      <alignment vertical="center"/>
    </xf>
    <xf numFmtId="41" fontId="12" fillId="0" borderId="18" xfId="1" applyFont="1" applyBorder="1">
      <alignment vertical="center"/>
    </xf>
    <xf numFmtId="0" fontId="12" fillId="0" borderId="8" xfId="0" applyFont="1" applyBorder="1" applyAlignment="1">
      <alignment horizontal="center" vertical="center"/>
    </xf>
    <xf numFmtId="41" fontId="12" fillId="0" borderId="4" xfId="1" applyFont="1" applyBorder="1">
      <alignment vertical="center"/>
    </xf>
    <xf numFmtId="41" fontId="12" fillId="0" borderId="7" xfId="1" applyFont="1" applyBorder="1">
      <alignment vertical="center"/>
    </xf>
    <xf numFmtId="0" fontId="12" fillId="0" borderId="9" xfId="0" applyFont="1" applyBorder="1" applyAlignment="1">
      <alignment horizontal="center" vertical="center"/>
    </xf>
    <xf numFmtId="41" fontId="12" fillId="0" borderId="10" xfId="1" applyFont="1" applyBorder="1">
      <alignment vertical="center"/>
    </xf>
    <xf numFmtId="41" fontId="12" fillId="0" borderId="23" xfId="1" applyFont="1" applyBorder="1">
      <alignment vertical="center"/>
    </xf>
    <xf numFmtId="41" fontId="12" fillId="0" borderId="11" xfId="1" applyFont="1" applyBorder="1">
      <alignment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176" fontId="6" fillId="0" borderId="25" xfId="0" applyNumberFormat="1" applyFont="1" applyBorder="1" applyAlignment="1">
      <alignment horizontal="center" vertical="center"/>
    </xf>
    <xf numFmtId="176" fontId="6" fillId="0" borderId="26" xfId="0" applyNumberFormat="1" applyFont="1" applyBorder="1" applyAlignment="1">
      <alignment horizontal="center" vertical="center"/>
    </xf>
    <xf numFmtId="41" fontId="6" fillId="3" borderId="20" xfId="1" applyFont="1" applyFill="1" applyBorder="1">
      <alignment vertical="center"/>
    </xf>
    <xf numFmtId="41" fontId="6" fillId="3" borderId="21" xfId="1" applyFont="1" applyFill="1" applyBorder="1">
      <alignment vertical="center"/>
    </xf>
    <xf numFmtId="0" fontId="6" fillId="2" borderId="1" xfId="0" applyFont="1" applyFill="1" applyBorder="1" applyAlignment="1">
      <alignment horizontal="left" vertical="center"/>
    </xf>
    <xf numFmtId="41" fontId="6" fillId="2" borderId="1" xfId="1" applyFont="1" applyFill="1" applyBorder="1">
      <alignment vertical="center"/>
    </xf>
    <xf numFmtId="41" fontId="6" fillId="2" borderId="2" xfId="1" applyFont="1" applyFill="1" applyBorder="1">
      <alignment vertical="center"/>
    </xf>
    <xf numFmtId="0" fontId="7" fillId="0" borderId="4" xfId="0" applyFont="1" applyBorder="1" applyAlignment="1">
      <alignment horizontal="left" vertical="center"/>
    </xf>
    <xf numFmtId="41" fontId="7" fillId="0" borderId="4" xfId="1" applyFont="1" applyBorder="1">
      <alignment vertical="center"/>
    </xf>
    <xf numFmtId="41" fontId="7" fillId="0" borderId="7" xfId="1" applyFont="1" applyBorder="1">
      <alignment vertical="center"/>
    </xf>
    <xf numFmtId="0" fontId="7" fillId="0" borderId="10" xfId="0" applyFont="1" applyBorder="1" applyAlignment="1">
      <alignment horizontal="left" vertical="center"/>
    </xf>
    <xf numFmtId="41" fontId="7" fillId="0" borderId="10" xfId="1" applyFont="1" applyBorder="1">
      <alignment vertical="center"/>
    </xf>
    <xf numFmtId="41" fontId="7" fillId="0" borderId="11" xfId="1" applyFont="1" applyBorder="1">
      <alignment vertical="center"/>
    </xf>
    <xf numFmtId="41" fontId="6" fillId="2" borderId="1" xfId="1" applyFont="1" applyFill="1" applyBorder="1" applyAlignment="1">
      <alignment horizontal="center" vertical="center"/>
    </xf>
    <xf numFmtId="41" fontId="6" fillId="2" borderId="2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11" fillId="0" borderId="20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1" fontId="6" fillId="3" borderId="27" xfId="1" applyFont="1" applyFill="1" applyBorder="1" applyAlignment="1">
      <alignment horizontal="center" vertical="center"/>
    </xf>
    <xf numFmtId="41" fontId="6" fillId="3" borderId="28" xfId="1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1" fontId="10" fillId="4" borderId="1" xfId="1" applyFont="1" applyFill="1" applyBorder="1" applyAlignment="1">
      <alignment vertical="center"/>
    </xf>
    <xf numFmtId="41" fontId="10" fillId="5" borderId="4" xfId="1" applyFont="1" applyFill="1" applyBorder="1" applyAlignment="1">
      <alignment vertical="center"/>
    </xf>
    <xf numFmtId="41" fontId="10" fillId="2" borderId="10" xfId="1" applyFont="1" applyFill="1" applyBorder="1" applyAlignment="1">
      <alignment vertical="center"/>
    </xf>
    <xf numFmtId="177" fontId="0" fillId="0" borderId="0" xfId="0" applyNumberFormat="1" applyAlignment="1">
      <alignment vertical="center"/>
    </xf>
    <xf numFmtId="176" fontId="6" fillId="0" borderId="29" xfId="0" applyNumberFormat="1" applyFont="1" applyBorder="1" applyAlignment="1">
      <alignment horizontal="center" vertical="center"/>
    </xf>
    <xf numFmtId="41" fontId="10" fillId="4" borderId="30" xfId="1" applyFont="1" applyFill="1" applyBorder="1" applyAlignment="1">
      <alignment vertical="center"/>
    </xf>
    <xf numFmtId="41" fontId="10" fillId="5" borderId="31" xfId="1" applyFont="1" applyFill="1" applyBorder="1" applyAlignment="1">
      <alignment vertical="center"/>
    </xf>
    <xf numFmtId="41" fontId="10" fillId="2" borderId="32" xfId="1" applyFont="1" applyFill="1" applyBorder="1" applyAlignment="1">
      <alignment vertical="center"/>
    </xf>
    <xf numFmtId="177" fontId="0" fillId="0" borderId="33" xfId="0" applyNumberFormat="1" applyBorder="1" applyAlignment="1">
      <alignment vertical="center"/>
    </xf>
    <xf numFmtId="177" fontId="0" fillId="0" borderId="31" xfId="0" applyNumberFormat="1" applyBorder="1" applyAlignment="1">
      <alignment vertical="center"/>
    </xf>
    <xf numFmtId="177" fontId="0" fillId="0" borderId="32" xfId="0" applyNumberFormat="1" applyBorder="1" applyAlignment="1">
      <alignment vertical="center"/>
    </xf>
    <xf numFmtId="41" fontId="14" fillId="0" borderId="36" xfId="1" applyFont="1" applyBorder="1" applyAlignment="1">
      <alignment vertical="center" wrapText="1"/>
    </xf>
    <xf numFmtId="41" fontId="3" fillId="0" borderId="23" xfId="1" applyFont="1" applyBorder="1" applyAlignment="1">
      <alignment vertical="center"/>
    </xf>
    <xf numFmtId="41" fontId="0" fillId="0" borderId="16" xfId="1" applyFont="1" applyBorder="1" applyAlignment="1">
      <alignment vertical="center"/>
    </xf>
    <xf numFmtId="41" fontId="0" fillId="0" borderId="17" xfId="1" applyFont="1" applyBorder="1" applyAlignment="1">
      <alignment vertical="center"/>
    </xf>
    <xf numFmtId="41" fontId="0" fillId="0" borderId="8" xfId="1" applyFont="1" applyBorder="1" applyAlignment="1">
      <alignment vertical="center"/>
    </xf>
    <xf numFmtId="41" fontId="0" fillId="0" borderId="4" xfId="1" applyFont="1" applyBorder="1" applyAlignment="1">
      <alignment vertical="center"/>
    </xf>
    <xf numFmtId="41" fontId="0" fillId="0" borderId="9" xfId="1" applyFont="1" applyBorder="1" applyAlignment="1">
      <alignment vertical="center"/>
    </xf>
    <xf numFmtId="41" fontId="0" fillId="0" borderId="10" xfId="1" applyFont="1" applyBorder="1" applyAlignment="1">
      <alignment vertical="center"/>
    </xf>
    <xf numFmtId="41" fontId="0" fillId="0" borderId="22" xfId="1" applyFont="1" applyBorder="1" applyAlignment="1">
      <alignment horizontal="center" vertical="center"/>
    </xf>
    <xf numFmtId="41" fontId="0" fillId="0" borderId="37" xfId="1" applyFont="1" applyBorder="1" applyAlignment="1">
      <alignment vertical="center"/>
    </xf>
    <xf numFmtId="41" fontId="0" fillId="0" borderId="34" xfId="1" applyFont="1" applyBorder="1" applyAlignment="1">
      <alignment vertical="center"/>
    </xf>
    <xf numFmtId="41" fontId="0" fillId="0" borderId="38" xfId="1" applyFont="1" applyBorder="1" applyAlignment="1">
      <alignment vertical="center"/>
    </xf>
    <xf numFmtId="41" fontId="0" fillId="0" borderId="1" xfId="1" applyFont="1" applyBorder="1" applyAlignment="1">
      <alignment vertical="center"/>
    </xf>
    <xf numFmtId="41" fontId="14" fillId="0" borderId="4" xfId="1" applyFont="1" applyBorder="1" applyAlignment="1">
      <alignment vertical="center" wrapText="1"/>
    </xf>
    <xf numFmtId="0" fontId="14" fillId="0" borderId="27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41" fontId="3" fillId="0" borderId="34" xfId="1" applyFont="1" applyBorder="1" applyAlignment="1">
      <alignment vertical="center" wrapText="1"/>
    </xf>
    <xf numFmtId="41" fontId="0" fillId="0" borderId="23" xfId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41" fontId="0" fillId="0" borderId="41" xfId="1" applyFont="1" applyBorder="1" applyAlignment="1">
      <alignment horizontal="center" vertical="center"/>
    </xf>
    <xf numFmtId="41" fontId="0" fillId="0" borderId="42" xfId="1" applyFont="1" applyBorder="1" applyAlignment="1">
      <alignment vertical="center"/>
    </xf>
    <xf numFmtId="41" fontId="0" fillId="0" borderId="43" xfId="1" applyFont="1" applyBorder="1" applyAlignment="1">
      <alignment vertical="center"/>
    </xf>
    <xf numFmtId="41" fontId="3" fillId="0" borderId="43" xfId="1" applyFont="1" applyBorder="1" applyAlignment="1">
      <alignment vertical="center" wrapText="1"/>
    </xf>
    <xf numFmtId="41" fontId="0" fillId="0" borderId="44" xfId="1" applyFont="1" applyBorder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42"/>
  <sheetViews>
    <sheetView tabSelected="1" topLeftCell="A3" workbookViewId="0">
      <selection activeCell="M27" sqref="M27"/>
    </sheetView>
  </sheetViews>
  <sheetFormatPr defaultRowHeight="12.75"/>
  <cols>
    <col min="1" max="2" width="9.140625" style="1"/>
    <col min="3" max="3" width="9.28515625" style="1" bestFit="1" customWidth="1"/>
    <col min="4" max="4" width="11.5703125" style="1" hidden="1" customWidth="1"/>
    <col min="5" max="5" width="11.140625" style="1" bestFit="1" customWidth="1"/>
    <col min="6" max="6" width="11.5703125" style="1" hidden="1" customWidth="1"/>
    <col min="7" max="7" width="9.42578125" style="1" bestFit="1" customWidth="1"/>
    <col min="8" max="8" width="11.5703125" style="1" hidden="1" customWidth="1"/>
    <col min="9" max="9" width="9.42578125" style="1" bestFit="1" customWidth="1"/>
    <col min="10" max="11" width="9.140625" style="1"/>
    <col min="12" max="12" width="11.140625" style="1" bestFit="1" customWidth="1"/>
    <col min="13" max="13" width="17.42578125" style="1" customWidth="1"/>
    <col min="14" max="15" width="9.140625" style="1"/>
    <col min="16" max="16" width="11.140625" style="1" bestFit="1" customWidth="1"/>
    <col min="17" max="30" width="9.140625" style="1"/>
  </cols>
  <sheetData>
    <row r="1" spans="1:17" hidden="1">
      <c r="A1" s="2" t="s">
        <v>51</v>
      </c>
      <c r="B1" s="2" t="s">
        <v>49</v>
      </c>
      <c r="C1" s="2" t="s">
        <v>50</v>
      </c>
    </row>
    <row r="2" spans="1:17" hidden="1">
      <c r="A2" s="1">
        <v>0.30249999999999999</v>
      </c>
      <c r="B2" s="1">
        <v>2.1</v>
      </c>
      <c r="C2" s="1">
        <v>0.7</v>
      </c>
    </row>
    <row r="3" spans="1:17" ht="21.75" customHeight="1">
      <c r="A3" s="58" t="s">
        <v>52</v>
      </c>
      <c r="B3" s="58"/>
      <c r="C3" s="58"/>
      <c r="D3" s="58"/>
      <c r="E3" s="58"/>
      <c r="F3" s="58"/>
      <c r="G3" s="58"/>
      <c r="H3" s="58"/>
      <c r="I3" s="58"/>
    </row>
    <row r="4" spans="1:17" ht="27" customHeight="1">
      <c r="A4" s="59" t="s">
        <v>152</v>
      </c>
      <c r="B4" s="60"/>
      <c r="C4" s="60"/>
      <c r="D4" s="60"/>
      <c r="E4" s="60"/>
      <c r="F4" s="60"/>
      <c r="G4" s="60"/>
      <c r="H4" s="60"/>
      <c r="I4" s="60"/>
    </row>
    <row r="5" spans="1:17" ht="13.5" thickBot="1"/>
    <row r="6" spans="1:17" ht="14.25" thickBot="1">
      <c r="A6" s="13" t="s">
        <v>25</v>
      </c>
      <c r="B6" s="48" t="s">
        <v>26</v>
      </c>
      <c r="C6" s="48" t="s">
        <v>27</v>
      </c>
      <c r="D6" s="48" t="s">
        <v>149</v>
      </c>
      <c r="E6" s="49" t="s">
        <v>150</v>
      </c>
      <c r="F6" s="14" t="s">
        <v>21</v>
      </c>
      <c r="G6" s="14" t="s">
        <v>22</v>
      </c>
      <c r="H6" s="14" t="s">
        <v>23</v>
      </c>
      <c r="I6" s="73" t="s">
        <v>24</v>
      </c>
      <c r="J6" s="94" t="s">
        <v>154</v>
      </c>
      <c r="K6" s="95"/>
      <c r="L6" s="95"/>
      <c r="M6" s="95"/>
      <c r="N6" s="95"/>
      <c r="O6" s="95"/>
      <c r="P6" s="95"/>
      <c r="Q6" s="96"/>
    </row>
    <row r="7" spans="1:17" ht="14.25" thickBot="1">
      <c r="A7" s="52" t="s">
        <v>46</v>
      </c>
      <c r="B7" s="53"/>
      <c r="C7" s="69">
        <f t="shared" ref="C7:I7" si="0">SUM(C10:C41)</f>
        <v>2774</v>
      </c>
      <c r="D7" s="69">
        <f t="shared" si="0"/>
        <v>25542263.149999999</v>
      </c>
      <c r="E7" s="69">
        <f t="shared" si="0"/>
        <v>7726534.6028750017</v>
      </c>
      <c r="F7" s="69">
        <f t="shared" si="0"/>
        <v>16225722.666037494</v>
      </c>
      <c r="G7" s="69">
        <f t="shared" si="0"/>
        <v>16225.722666037496</v>
      </c>
      <c r="H7" s="69">
        <f t="shared" si="0"/>
        <v>11358005.866226247</v>
      </c>
      <c r="I7" s="74">
        <f t="shared" si="0"/>
        <v>11358.005866226251</v>
      </c>
      <c r="J7" s="94" t="s">
        <v>155</v>
      </c>
      <c r="K7" s="95"/>
      <c r="L7" s="95"/>
      <c r="M7" s="96"/>
      <c r="N7" s="94"/>
      <c r="O7" s="95"/>
      <c r="P7" s="95"/>
      <c r="Q7" s="96"/>
    </row>
    <row r="8" spans="1:17" ht="33" customHeight="1">
      <c r="A8" s="54" t="s">
        <v>47</v>
      </c>
      <c r="B8" s="55"/>
      <c r="C8" s="70">
        <f t="shared" ref="C8:I8" si="1">SUM(C10,C12,C13,C14,C16,C18,C19,C21,C23,C25,C27,C29,C31,C32,C34,C36,C38,C40)</f>
        <v>2051</v>
      </c>
      <c r="D8" s="70">
        <f t="shared" si="1"/>
        <v>17788811.949999999</v>
      </c>
      <c r="E8" s="70">
        <f t="shared" si="1"/>
        <v>5381115.614875</v>
      </c>
      <c r="F8" s="70">
        <f t="shared" si="1"/>
        <v>11300342.791237498</v>
      </c>
      <c r="G8" s="70">
        <f t="shared" si="1"/>
        <v>11300.342791237499</v>
      </c>
      <c r="H8" s="70">
        <f t="shared" si="1"/>
        <v>7910239.953866249</v>
      </c>
      <c r="I8" s="75">
        <f t="shared" si="1"/>
        <v>7910.2399538662503</v>
      </c>
      <c r="J8" s="99" t="s">
        <v>157</v>
      </c>
      <c r="K8" s="100" t="s">
        <v>153</v>
      </c>
      <c r="L8" s="101" t="s">
        <v>156</v>
      </c>
      <c r="M8" s="102" t="s">
        <v>158</v>
      </c>
      <c r="N8" s="99" t="s">
        <v>157</v>
      </c>
      <c r="O8" s="100" t="s">
        <v>153</v>
      </c>
      <c r="P8" s="101" t="s">
        <v>156</v>
      </c>
      <c r="Q8" s="102" t="s">
        <v>158</v>
      </c>
    </row>
    <row r="9" spans="1:17" ht="14.25" thickBot="1">
      <c r="A9" s="56" t="s">
        <v>48</v>
      </c>
      <c r="B9" s="57"/>
      <c r="C9" s="71">
        <f t="shared" ref="C9:I9" si="2">SUM(C11,C15,C17,C20,C22,C24,C26,C28,C30,C33,C35,C37,C39,C41)</f>
        <v>723</v>
      </c>
      <c r="D9" s="71">
        <f t="shared" si="2"/>
        <v>7753451.2000000002</v>
      </c>
      <c r="E9" s="71">
        <f t="shared" si="2"/>
        <v>2345418.9879999999</v>
      </c>
      <c r="F9" s="71">
        <f t="shared" si="2"/>
        <v>4925379.8748000003</v>
      </c>
      <c r="G9" s="71">
        <f t="shared" si="2"/>
        <v>4925.3798747999999</v>
      </c>
      <c r="H9" s="71">
        <f t="shared" si="2"/>
        <v>3447765.9123599995</v>
      </c>
      <c r="I9" s="76">
        <f t="shared" si="2"/>
        <v>3447.7659123599997</v>
      </c>
      <c r="J9" s="80">
        <v>123</v>
      </c>
      <c r="K9" s="81">
        <v>65049</v>
      </c>
      <c r="L9" s="98">
        <f>SUM(L10:L41)</f>
        <v>1747</v>
      </c>
      <c r="M9" s="88"/>
      <c r="N9" s="80"/>
      <c r="O9" s="81"/>
      <c r="P9" s="98">
        <f>SUM(P10:P41)</f>
        <v>0</v>
      </c>
      <c r="Q9" s="103"/>
    </row>
    <row r="10" spans="1:17">
      <c r="A10" s="61" t="s">
        <v>0</v>
      </c>
      <c r="B10" s="11" t="s">
        <v>1</v>
      </c>
      <c r="C10" s="11">
        <v>260</v>
      </c>
      <c r="D10" s="12">
        <v>1835316.32</v>
      </c>
      <c r="E10" s="12">
        <f>D10*$A$2</f>
        <v>555183.18680000002</v>
      </c>
      <c r="F10" s="12">
        <f>E10*$B$2</f>
        <v>1165884.6922800001</v>
      </c>
      <c r="G10" s="12">
        <f>F10/1000</f>
        <v>1165.8846922800001</v>
      </c>
      <c r="H10" s="12">
        <f>F10*$C$2</f>
        <v>816119.28459599998</v>
      </c>
      <c r="I10" s="77">
        <f>H10/1000</f>
        <v>816.11928459599994</v>
      </c>
      <c r="J10" s="82"/>
      <c r="K10" s="83"/>
      <c r="L10" s="92">
        <v>500</v>
      </c>
      <c r="M10" s="89"/>
      <c r="N10" s="82"/>
      <c r="O10" s="83"/>
      <c r="P10" s="92"/>
      <c r="Q10" s="104"/>
    </row>
    <row r="11" spans="1:17">
      <c r="A11" s="50"/>
      <c r="B11" s="6" t="s">
        <v>2</v>
      </c>
      <c r="C11" s="6">
        <v>3</v>
      </c>
      <c r="D11" s="7">
        <v>27368</v>
      </c>
      <c r="E11" s="7">
        <f t="shared" ref="E11:E41" si="3">D11*$A$2</f>
        <v>8278.82</v>
      </c>
      <c r="F11" s="7">
        <f t="shared" ref="F11:F41" si="4">E11*$B$2</f>
        <v>17385.522000000001</v>
      </c>
      <c r="G11" s="7">
        <f t="shared" ref="G11:G41" si="5">F11/1000</f>
        <v>17.385522000000002</v>
      </c>
      <c r="H11" s="7">
        <f t="shared" ref="H11:H41" si="6">F11*$C$2</f>
        <v>12169.865400000001</v>
      </c>
      <c r="I11" s="78">
        <f t="shared" ref="I11:I41" si="7">H11/1000</f>
        <v>12.169865400000001</v>
      </c>
      <c r="J11" s="84"/>
      <c r="K11" s="85"/>
      <c r="L11" s="85"/>
      <c r="M11" s="90"/>
      <c r="N11" s="84"/>
      <c r="O11" s="85"/>
      <c r="P11" s="85"/>
      <c r="Q11" s="105"/>
    </row>
    <row r="12" spans="1:17">
      <c r="A12" s="8" t="s">
        <v>3</v>
      </c>
      <c r="B12" s="6" t="s">
        <v>1</v>
      </c>
      <c r="C12" s="6">
        <v>20</v>
      </c>
      <c r="D12" s="7">
        <v>149057</v>
      </c>
      <c r="E12" s="7">
        <f t="shared" si="3"/>
        <v>45089.7425</v>
      </c>
      <c r="F12" s="7">
        <f t="shared" si="4"/>
        <v>94688.45925</v>
      </c>
      <c r="G12" s="7">
        <f t="shared" si="5"/>
        <v>94.688459249999994</v>
      </c>
      <c r="H12" s="7">
        <f t="shared" si="6"/>
        <v>66281.921474999996</v>
      </c>
      <c r="I12" s="78">
        <f t="shared" si="7"/>
        <v>66.28192147499999</v>
      </c>
      <c r="J12" s="84"/>
      <c r="K12" s="85"/>
      <c r="L12" s="85"/>
      <c r="M12" s="90"/>
      <c r="N12" s="84"/>
      <c r="O12" s="85"/>
      <c r="P12" s="85"/>
      <c r="Q12" s="105"/>
    </row>
    <row r="13" spans="1:17">
      <c r="A13" s="8" t="s">
        <v>4</v>
      </c>
      <c r="B13" s="6" t="s">
        <v>1</v>
      </c>
      <c r="C13" s="6">
        <v>171</v>
      </c>
      <c r="D13" s="7">
        <v>1255059</v>
      </c>
      <c r="E13" s="7">
        <f t="shared" si="3"/>
        <v>379655.34749999997</v>
      </c>
      <c r="F13" s="7">
        <f t="shared" si="4"/>
        <v>797276.22974999994</v>
      </c>
      <c r="G13" s="7">
        <f t="shared" si="5"/>
        <v>797.27622974999997</v>
      </c>
      <c r="H13" s="7">
        <f t="shared" si="6"/>
        <v>558093.36082499987</v>
      </c>
      <c r="I13" s="78">
        <f t="shared" si="7"/>
        <v>558.09336082499988</v>
      </c>
      <c r="J13" s="84"/>
      <c r="K13" s="85"/>
      <c r="L13" s="85"/>
      <c r="M13" s="90"/>
      <c r="N13" s="84"/>
      <c r="O13" s="85"/>
      <c r="P13" s="85"/>
      <c r="Q13" s="105"/>
    </row>
    <row r="14" spans="1:17">
      <c r="A14" s="50" t="s">
        <v>5</v>
      </c>
      <c r="B14" s="6" t="s">
        <v>1</v>
      </c>
      <c r="C14" s="6">
        <v>45</v>
      </c>
      <c r="D14" s="7">
        <v>1033092</v>
      </c>
      <c r="E14" s="7">
        <f t="shared" si="3"/>
        <v>312510.33</v>
      </c>
      <c r="F14" s="7">
        <f t="shared" si="4"/>
        <v>656271.69300000009</v>
      </c>
      <c r="G14" s="7">
        <f t="shared" si="5"/>
        <v>656.27169300000014</v>
      </c>
      <c r="H14" s="7">
        <f t="shared" si="6"/>
        <v>459390.1851</v>
      </c>
      <c r="I14" s="78">
        <f t="shared" si="7"/>
        <v>459.3901851</v>
      </c>
      <c r="J14" s="84"/>
      <c r="K14" s="85"/>
      <c r="L14" s="85"/>
      <c r="M14" s="90"/>
      <c r="N14" s="84"/>
      <c r="O14" s="85"/>
      <c r="P14" s="85"/>
      <c r="Q14" s="105"/>
    </row>
    <row r="15" spans="1:17">
      <c r="A15" s="50"/>
      <c r="B15" s="6" t="s">
        <v>2</v>
      </c>
      <c r="C15" s="6">
        <v>6</v>
      </c>
      <c r="D15" s="7">
        <v>79132</v>
      </c>
      <c r="E15" s="7">
        <f t="shared" si="3"/>
        <v>23937.43</v>
      </c>
      <c r="F15" s="7">
        <f t="shared" si="4"/>
        <v>50268.603000000003</v>
      </c>
      <c r="G15" s="7">
        <f t="shared" si="5"/>
        <v>50.268603000000006</v>
      </c>
      <c r="H15" s="7">
        <f t="shared" si="6"/>
        <v>35188.022100000002</v>
      </c>
      <c r="I15" s="78">
        <f t="shared" si="7"/>
        <v>35.188022100000005</v>
      </c>
      <c r="J15" s="84"/>
      <c r="K15" s="85"/>
      <c r="L15" s="85"/>
      <c r="M15" s="90"/>
      <c r="N15" s="84"/>
      <c r="O15" s="85"/>
      <c r="P15" s="85"/>
      <c r="Q15" s="105"/>
    </row>
    <row r="16" spans="1:17">
      <c r="A16" s="50" t="s">
        <v>6</v>
      </c>
      <c r="B16" s="6" t="s">
        <v>1</v>
      </c>
      <c r="C16" s="6">
        <v>97</v>
      </c>
      <c r="D16" s="7">
        <v>470726.5</v>
      </c>
      <c r="E16" s="7">
        <f t="shared" si="3"/>
        <v>142394.76624999999</v>
      </c>
      <c r="F16" s="7">
        <f t="shared" si="4"/>
        <v>299029.00912499998</v>
      </c>
      <c r="G16" s="7">
        <f t="shared" si="5"/>
        <v>299.02900912499996</v>
      </c>
      <c r="H16" s="7">
        <f t="shared" si="6"/>
        <v>209320.30638749996</v>
      </c>
      <c r="I16" s="78">
        <f t="shared" si="7"/>
        <v>209.32030638749995</v>
      </c>
      <c r="J16" s="84"/>
      <c r="K16" s="85"/>
      <c r="L16" s="85"/>
      <c r="M16" s="90"/>
      <c r="N16" s="84"/>
      <c r="O16" s="85"/>
      <c r="P16" s="85"/>
      <c r="Q16" s="105"/>
    </row>
    <row r="17" spans="1:17">
      <c r="A17" s="50"/>
      <c r="B17" s="6" t="s">
        <v>2</v>
      </c>
      <c r="C17" s="6">
        <v>15</v>
      </c>
      <c r="D17" s="7">
        <v>97251</v>
      </c>
      <c r="E17" s="7">
        <f t="shared" si="3"/>
        <v>29418.427499999998</v>
      </c>
      <c r="F17" s="7">
        <f t="shared" si="4"/>
        <v>61778.697749999999</v>
      </c>
      <c r="G17" s="7">
        <f t="shared" si="5"/>
        <v>61.778697749999999</v>
      </c>
      <c r="H17" s="7">
        <f t="shared" si="6"/>
        <v>43245.088424999994</v>
      </c>
      <c r="I17" s="78">
        <f t="shared" si="7"/>
        <v>43.245088424999992</v>
      </c>
      <c r="J17" s="84"/>
      <c r="K17" s="85"/>
      <c r="L17" s="85"/>
      <c r="M17" s="90"/>
      <c r="N17" s="84"/>
      <c r="O17" s="85"/>
      <c r="P17" s="85"/>
      <c r="Q17" s="105"/>
    </row>
    <row r="18" spans="1:17">
      <c r="A18" s="8" t="s">
        <v>7</v>
      </c>
      <c r="B18" s="6" t="s">
        <v>1</v>
      </c>
      <c r="C18" s="6">
        <v>71</v>
      </c>
      <c r="D18" s="7">
        <v>201266</v>
      </c>
      <c r="E18" s="7">
        <f t="shared" si="3"/>
        <v>60882.964999999997</v>
      </c>
      <c r="F18" s="7">
        <f t="shared" si="4"/>
        <v>127854.2265</v>
      </c>
      <c r="G18" s="7">
        <f t="shared" si="5"/>
        <v>127.85422650000001</v>
      </c>
      <c r="H18" s="7">
        <f t="shared" si="6"/>
        <v>89497.958549999996</v>
      </c>
      <c r="I18" s="78">
        <f t="shared" si="7"/>
        <v>89.497958549999993</v>
      </c>
      <c r="J18" s="84"/>
      <c r="K18" s="85"/>
      <c r="L18" s="85"/>
      <c r="M18" s="90"/>
      <c r="N18" s="84"/>
      <c r="O18" s="85"/>
      <c r="P18" s="85"/>
      <c r="Q18" s="105"/>
    </row>
    <row r="19" spans="1:17">
      <c r="A19" s="8" t="s">
        <v>8</v>
      </c>
      <c r="B19" s="6" t="s">
        <v>1</v>
      </c>
      <c r="C19" s="6">
        <v>1</v>
      </c>
      <c r="D19" s="7">
        <v>31722</v>
      </c>
      <c r="E19" s="7">
        <f t="shared" si="3"/>
        <v>9595.9049999999988</v>
      </c>
      <c r="F19" s="7">
        <f t="shared" si="4"/>
        <v>20151.4005</v>
      </c>
      <c r="G19" s="7">
        <f t="shared" si="5"/>
        <v>20.151400500000001</v>
      </c>
      <c r="H19" s="7">
        <f t="shared" si="6"/>
        <v>14105.98035</v>
      </c>
      <c r="I19" s="78">
        <f t="shared" si="7"/>
        <v>14.105980349999999</v>
      </c>
      <c r="J19" s="84"/>
      <c r="K19" s="85"/>
      <c r="L19" s="85"/>
      <c r="M19" s="90"/>
      <c r="N19" s="84"/>
      <c r="O19" s="85"/>
      <c r="P19" s="85"/>
      <c r="Q19" s="105"/>
    </row>
    <row r="20" spans="1:17">
      <c r="A20" s="8" t="s">
        <v>9</v>
      </c>
      <c r="B20" s="6" t="s">
        <v>2</v>
      </c>
      <c r="C20" s="6">
        <v>5</v>
      </c>
      <c r="D20" s="7">
        <v>42579</v>
      </c>
      <c r="E20" s="7">
        <f t="shared" si="3"/>
        <v>12880.147499999999</v>
      </c>
      <c r="F20" s="7">
        <f t="shared" si="4"/>
        <v>27048.30975</v>
      </c>
      <c r="G20" s="7">
        <f t="shared" si="5"/>
        <v>27.048309750000001</v>
      </c>
      <c r="H20" s="7">
        <f t="shared" si="6"/>
        <v>18933.816824999998</v>
      </c>
      <c r="I20" s="78">
        <f t="shared" si="7"/>
        <v>18.933816824999997</v>
      </c>
      <c r="J20" s="84"/>
      <c r="K20" s="85"/>
      <c r="L20" s="85"/>
      <c r="M20" s="90"/>
      <c r="N20" s="84"/>
      <c r="O20" s="85"/>
      <c r="P20" s="85"/>
      <c r="Q20" s="105"/>
    </row>
    <row r="21" spans="1:17">
      <c r="A21" s="50" t="s">
        <v>10</v>
      </c>
      <c r="B21" s="6" t="s">
        <v>1</v>
      </c>
      <c r="C21" s="6">
        <v>68</v>
      </c>
      <c r="D21" s="7">
        <v>572153.53</v>
      </c>
      <c r="E21" s="7">
        <f t="shared" si="3"/>
        <v>173076.44282500001</v>
      </c>
      <c r="F21" s="7">
        <f t="shared" si="4"/>
        <v>363460.52993250004</v>
      </c>
      <c r="G21" s="7">
        <f t="shared" si="5"/>
        <v>363.46052993250004</v>
      </c>
      <c r="H21" s="7">
        <f t="shared" si="6"/>
        <v>254422.37095275</v>
      </c>
      <c r="I21" s="78">
        <f t="shared" si="7"/>
        <v>254.42237095275001</v>
      </c>
      <c r="J21" s="84"/>
      <c r="K21" s="85"/>
      <c r="L21" s="85"/>
      <c r="M21" s="90"/>
      <c r="N21" s="84"/>
      <c r="O21" s="85"/>
      <c r="P21" s="85"/>
      <c r="Q21" s="105"/>
    </row>
    <row r="22" spans="1:17">
      <c r="A22" s="50"/>
      <c r="B22" s="6" t="s">
        <v>2</v>
      </c>
      <c r="C22" s="6">
        <v>93</v>
      </c>
      <c r="D22" s="7">
        <v>780737.1</v>
      </c>
      <c r="E22" s="7">
        <f t="shared" si="3"/>
        <v>236172.97274999999</v>
      </c>
      <c r="F22" s="7">
        <f t="shared" si="4"/>
        <v>495963.24277499999</v>
      </c>
      <c r="G22" s="7">
        <f t="shared" si="5"/>
        <v>495.96324277499997</v>
      </c>
      <c r="H22" s="7">
        <f t="shared" si="6"/>
        <v>347174.26994249999</v>
      </c>
      <c r="I22" s="78">
        <f t="shared" si="7"/>
        <v>347.17426994249996</v>
      </c>
      <c r="J22" s="84"/>
      <c r="K22" s="85"/>
      <c r="L22" s="85"/>
      <c r="M22" s="90"/>
      <c r="N22" s="84"/>
      <c r="O22" s="85"/>
      <c r="P22" s="85"/>
      <c r="Q22" s="105"/>
    </row>
    <row r="23" spans="1:17" ht="24">
      <c r="A23" s="50" t="s">
        <v>11</v>
      </c>
      <c r="B23" s="6" t="s">
        <v>1</v>
      </c>
      <c r="C23" s="6">
        <v>729</v>
      </c>
      <c r="D23" s="7">
        <v>4697268.0999999996</v>
      </c>
      <c r="E23" s="7">
        <f t="shared" si="3"/>
        <v>1420923.6002499999</v>
      </c>
      <c r="F23" s="7">
        <f t="shared" si="4"/>
        <v>2983939.5605250001</v>
      </c>
      <c r="G23" s="7">
        <f t="shared" si="5"/>
        <v>2983.9395605250002</v>
      </c>
      <c r="H23" s="7">
        <f t="shared" si="6"/>
        <v>2088757.6923674999</v>
      </c>
      <c r="I23" s="78">
        <f t="shared" si="7"/>
        <v>2088.7576923675001</v>
      </c>
      <c r="J23" s="84"/>
      <c r="K23" s="85"/>
      <c r="L23" s="93">
        <v>750</v>
      </c>
      <c r="M23" s="97" t="s">
        <v>159</v>
      </c>
      <c r="N23" s="84"/>
      <c r="O23" s="85"/>
      <c r="P23" s="93"/>
      <c r="Q23" s="106"/>
    </row>
    <row r="24" spans="1:17">
      <c r="A24" s="50"/>
      <c r="B24" s="6" t="s">
        <v>2</v>
      </c>
      <c r="C24" s="6">
        <v>256</v>
      </c>
      <c r="D24" s="7">
        <v>2065851.3</v>
      </c>
      <c r="E24" s="7">
        <f t="shared" si="3"/>
        <v>624920.01824999996</v>
      </c>
      <c r="F24" s="7">
        <f t="shared" si="4"/>
        <v>1312332.0383250001</v>
      </c>
      <c r="G24" s="7">
        <f t="shared" si="5"/>
        <v>1312.332038325</v>
      </c>
      <c r="H24" s="7">
        <f t="shared" si="6"/>
        <v>918632.42682749999</v>
      </c>
      <c r="I24" s="78">
        <f t="shared" si="7"/>
        <v>918.63242682750001</v>
      </c>
      <c r="J24" s="84"/>
      <c r="K24" s="85"/>
      <c r="L24" s="85"/>
      <c r="M24" s="90"/>
      <c r="N24" s="84"/>
      <c r="O24" s="85"/>
      <c r="P24" s="85"/>
      <c r="Q24" s="105"/>
    </row>
    <row r="25" spans="1:17">
      <c r="A25" s="50" t="s">
        <v>12</v>
      </c>
      <c r="B25" s="6" t="s">
        <v>1</v>
      </c>
      <c r="C25" s="6">
        <v>120</v>
      </c>
      <c r="D25" s="7">
        <v>1532686.2</v>
      </c>
      <c r="E25" s="7">
        <f t="shared" si="3"/>
        <v>463637.57549999998</v>
      </c>
      <c r="F25" s="7">
        <f t="shared" si="4"/>
        <v>973638.90855000005</v>
      </c>
      <c r="G25" s="7">
        <f t="shared" si="5"/>
        <v>973.63890855</v>
      </c>
      <c r="H25" s="7">
        <f t="shared" si="6"/>
        <v>681547.23598500004</v>
      </c>
      <c r="I25" s="78">
        <f t="shared" si="7"/>
        <v>681.54723598500004</v>
      </c>
      <c r="J25" s="84"/>
      <c r="K25" s="85"/>
      <c r="L25" s="85"/>
      <c r="M25" s="90"/>
      <c r="N25" s="84"/>
      <c r="O25" s="85"/>
      <c r="P25" s="85"/>
      <c r="Q25" s="105"/>
    </row>
    <row r="26" spans="1:17">
      <c r="A26" s="50"/>
      <c r="B26" s="6" t="s">
        <v>2</v>
      </c>
      <c r="C26" s="6">
        <v>88</v>
      </c>
      <c r="D26" s="7">
        <v>1075890.2</v>
      </c>
      <c r="E26" s="7">
        <f t="shared" si="3"/>
        <v>325456.7855</v>
      </c>
      <c r="F26" s="7">
        <f t="shared" si="4"/>
        <v>683459.24955000007</v>
      </c>
      <c r="G26" s="7">
        <f t="shared" si="5"/>
        <v>683.4592495500001</v>
      </c>
      <c r="H26" s="7">
        <f t="shared" si="6"/>
        <v>478421.47468500002</v>
      </c>
      <c r="I26" s="78">
        <f t="shared" si="7"/>
        <v>478.42147468500002</v>
      </c>
      <c r="J26" s="84"/>
      <c r="K26" s="85"/>
      <c r="L26" s="85"/>
      <c r="M26" s="90"/>
      <c r="N26" s="84"/>
      <c r="O26" s="85"/>
      <c r="P26" s="85"/>
      <c r="Q26" s="105"/>
    </row>
    <row r="27" spans="1:17">
      <c r="A27" s="50" t="s">
        <v>13</v>
      </c>
      <c r="B27" s="6" t="s">
        <v>1</v>
      </c>
      <c r="C27" s="6">
        <v>96</v>
      </c>
      <c r="D27" s="7">
        <v>1370772.8</v>
      </c>
      <c r="E27" s="7">
        <f t="shared" si="3"/>
        <v>414658.772</v>
      </c>
      <c r="F27" s="7">
        <f t="shared" si="4"/>
        <v>870783.42119999998</v>
      </c>
      <c r="G27" s="7">
        <f t="shared" si="5"/>
        <v>870.78342120000002</v>
      </c>
      <c r="H27" s="7">
        <f t="shared" si="6"/>
        <v>609548.39483999996</v>
      </c>
      <c r="I27" s="78">
        <f t="shared" si="7"/>
        <v>609.54839484000001</v>
      </c>
      <c r="J27" s="84"/>
      <c r="K27" s="85"/>
      <c r="L27" s="85"/>
      <c r="M27" s="90"/>
      <c r="N27" s="84"/>
      <c r="O27" s="85"/>
      <c r="P27" s="85"/>
      <c r="Q27" s="105"/>
    </row>
    <row r="28" spans="1:17">
      <c r="A28" s="50"/>
      <c r="B28" s="6" t="s">
        <v>2</v>
      </c>
      <c r="C28" s="6">
        <v>2</v>
      </c>
      <c r="D28" s="7">
        <v>20840</v>
      </c>
      <c r="E28" s="7">
        <f t="shared" si="3"/>
        <v>6304.0999999999995</v>
      </c>
      <c r="F28" s="7">
        <f t="shared" si="4"/>
        <v>13238.609999999999</v>
      </c>
      <c r="G28" s="7">
        <f t="shared" si="5"/>
        <v>13.23861</v>
      </c>
      <c r="H28" s="7">
        <f t="shared" si="6"/>
        <v>9267.0269999999982</v>
      </c>
      <c r="I28" s="78">
        <f t="shared" si="7"/>
        <v>9.2670269999999988</v>
      </c>
      <c r="J28" s="84"/>
      <c r="K28" s="85"/>
      <c r="L28" s="85"/>
      <c r="M28" s="90"/>
      <c r="N28" s="84"/>
      <c r="O28" s="85"/>
      <c r="P28" s="85"/>
      <c r="Q28" s="105"/>
    </row>
    <row r="29" spans="1:17">
      <c r="A29" s="50" t="s">
        <v>14</v>
      </c>
      <c r="B29" s="6" t="s">
        <v>1</v>
      </c>
      <c r="C29" s="6">
        <v>29</v>
      </c>
      <c r="D29" s="7">
        <v>155629</v>
      </c>
      <c r="E29" s="7">
        <f t="shared" si="3"/>
        <v>47077.772499999999</v>
      </c>
      <c r="F29" s="7">
        <f t="shared" si="4"/>
        <v>98863.322249999997</v>
      </c>
      <c r="G29" s="7">
        <f t="shared" si="5"/>
        <v>98.863322249999996</v>
      </c>
      <c r="H29" s="7">
        <f t="shared" si="6"/>
        <v>69204.325574999995</v>
      </c>
      <c r="I29" s="78">
        <f t="shared" si="7"/>
        <v>69.204325574999999</v>
      </c>
      <c r="J29" s="84"/>
      <c r="K29" s="85"/>
      <c r="L29" s="85"/>
      <c r="M29" s="90"/>
      <c r="N29" s="84"/>
      <c r="O29" s="85"/>
      <c r="P29" s="85"/>
      <c r="Q29" s="105"/>
    </row>
    <row r="30" spans="1:17">
      <c r="A30" s="50"/>
      <c r="B30" s="6" t="s">
        <v>2</v>
      </c>
      <c r="C30" s="6">
        <v>165</v>
      </c>
      <c r="D30" s="7">
        <v>1806880.9</v>
      </c>
      <c r="E30" s="7">
        <f t="shared" si="3"/>
        <v>546581.47224999999</v>
      </c>
      <c r="F30" s="7">
        <f t="shared" si="4"/>
        <v>1147821.0917249999</v>
      </c>
      <c r="G30" s="7">
        <f t="shared" si="5"/>
        <v>1147.8210917249999</v>
      </c>
      <c r="H30" s="7">
        <f t="shared" si="6"/>
        <v>803474.76420749992</v>
      </c>
      <c r="I30" s="78">
        <f t="shared" si="7"/>
        <v>803.4747642074999</v>
      </c>
      <c r="J30" s="84"/>
      <c r="K30" s="85"/>
      <c r="L30" s="85"/>
      <c r="M30" s="90"/>
      <c r="N30" s="84"/>
      <c r="O30" s="85"/>
      <c r="P30" s="85"/>
      <c r="Q30" s="105"/>
    </row>
    <row r="31" spans="1:17">
      <c r="A31" s="8" t="s">
        <v>15</v>
      </c>
      <c r="B31" s="6" t="s">
        <v>1</v>
      </c>
      <c r="C31" s="6">
        <v>14</v>
      </c>
      <c r="D31" s="7">
        <v>104675</v>
      </c>
      <c r="E31" s="7">
        <f t="shared" si="3"/>
        <v>31664.1875</v>
      </c>
      <c r="F31" s="7">
        <f t="shared" si="4"/>
        <v>66494.793749999997</v>
      </c>
      <c r="G31" s="7">
        <f t="shared" si="5"/>
        <v>66.494793749999999</v>
      </c>
      <c r="H31" s="7">
        <f t="shared" si="6"/>
        <v>46546.355624999997</v>
      </c>
      <c r="I31" s="78">
        <f t="shared" si="7"/>
        <v>46.546355624999997</v>
      </c>
      <c r="J31" s="84"/>
      <c r="K31" s="85"/>
      <c r="L31" s="85">
        <v>47</v>
      </c>
      <c r="M31" s="90"/>
      <c r="N31" s="84"/>
      <c r="O31" s="85"/>
      <c r="P31" s="85"/>
      <c r="Q31" s="105"/>
    </row>
    <row r="32" spans="1:17">
      <c r="A32" s="50" t="s">
        <v>16</v>
      </c>
      <c r="B32" s="6" t="s">
        <v>1</v>
      </c>
      <c r="C32" s="6">
        <v>114</v>
      </c>
      <c r="D32" s="7">
        <v>865759.6</v>
      </c>
      <c r="E32" s="7">
        <f t="shared" si="3"/>
        <v>261892.27899999998</v>
      </c>
      <c r="F32" s="7">
        <f t="shared" si="4"/>
        <v>549973.78590000002</v>
      </c>
      <c r="G32" s="7">
        <f t="shared" si="5"/>
        <v>549.97378590000005</v>
      </c>
      <c r="H32" s="7">
        <f t="shared" si="6"/>
        <v>384981.65012999997</v>
      </c>
      <c r="I32" s="78">
        <f t="shared" si="7"/>
        <v>384.98165012999999</v>
      </c>
      <c r="J32" s="84"/>
      <c r="K32" s="85"/>
      <c r="L32" s="85"/>
      <c r="M32" s="90"/>
      <c r="N32" s="84"/>
      <c r="O32" s="85"/>
      <c r="P32" s="85"/>
      <c r="Q32" s="105"/>
    </row>
    <row r="33" spans="1:17">
      <c r="A33" s="50"/>
      <c r="B33" s="6" t="s">
        <v>2</v>
      </c>
      <c r="C33" s="6">
        <v>11</v>
      </c>
      <c r="D33" s="7">
        <v>87188.3</v>
      </c>
      <c r="E33" s="7">
        <f t="shared" si="3"/>
        <v>26374.460749999998</v>
      </c>
      <c r="F33" s="7">
        <f t="shared" si="4"/>
        <v>55386.367574999997</v>
      </c>
      <c r="G33" s="7">
        <f t="shared" si="5"/>
        <v>55.386367574999994</v>
      </c>
      <c r="H33" s="7">
        <f t="shared" si="6"/>
        <v>38770.457302499992</v>
      </c>
      <c r="I33" s="78">
        <f t="shared" si="7"/>
        <v>38.770457302499992</v>
      </c>
      <c r="J33" s="84"/>
      <c r="K33" s="85"/>
      <c r="L33" s="85"/>
      <c r="M33" s="90"/>
      <c r="N33" s="84"/>
      <c r="O33" s="85"/>
      <c r="P33" s="85"/>
      <c r="Q33" s="105"/>
    </row>
    <row r="34" spans="1:17">
      <c r="A34" s="50" t="s">
        <v>17</v>
      </c>
      <c r="B34" s="6" t="s">
        <v>1</v>
      </c>
      <c r="C34" s="6">
        <v>131</v>
      </c>
      <c r="D34" s="7">
        <v>2321543</v>
      </c>
      <c r="E34" s="7">
        <f t="shared" si="3"/>
        <v>702266.75749999995</v>
      </c>
      <c r="F34" s="7">
        <f t="shared" si="4"/>
        <v>1474760.1907500001</v>
      </c>
      <c r="G34" s="7">
        <f t="shared" si="5"/>
        <v>1474.76019075</v>
      </c>
      <c r="H34" s="7">
        <f t="shared" si="6"/>
        <v>1032332.133525</v>
      </c>
      <c r="I34" s="78">
        <f t="shared" si="7"/>
        <v>1032.332133525</v>
      </c>
      <c r="J34" s="84"/>
      <c r="K34" s="85"/>
      <c r="L34" s="85"/>
      <c r="M34" s="90"/>
      <c r="N34" s="84"/>
      <c r="O34" s="85"/>
      <c r="P34" s="85"/>
      <c r="Q34" s="105"/>
    </row>
    <row r="35" spans="1:17">
      <c r="A35" s="50"/>
      <c r="B35" s="6" t="s">
        <v>2</v>
      </c>
      <c r="C35" s="6">
        <v>26</v>
      </c>
      <c r="D35" s="7">
        <v>496977</v>
      </c>
      <c r="E35" s="7">
        <f t="shared" si="3"/>
        <v>150335.54249999998</v>
      </c>
      <c r="F35" s="7">
        <f t="shared" si="4"/>
        <v>315704.63924999995</v>
      </c>
      <c r="G35" s="7">
        <f t="shared" si="5"/>
        <v>315.70463924999996</v>
      </c>
      <c r="H35" s="7">
        <f t="shared" si="6"/>
        <v>220993.24747499995</v>
      </c>
      <c r="I35" s="78">
        <f t="shared" si="7"/>
        <v>220.99324747499995</v>
      </c>
      <c r="J35" s="84"/>
      <c r="K35" s="85"/>
      <c r="L35" s="85"/>
      <c r="M35" s="90"/>
      <c r="N35" s="84"/>
      <c r="O35" s="85"/>
      <c r="P35" s="85"/>
      <c r="Q35" s="105"/>
    </row>
    <row r="36" spans="1:17">
      <c r="A36" s="50" t="s">
        <v>18</v>
      </c>
      <c r="B36" s="6" t="s">
        <v>1</v>
      </c>
      <c r="C36" s="6">
        <v>14</v>
      </c>
      <c r="D36" s="7">
        <v>300215.90000000002</v>
      </c>
      <c r="E36" s="7">
        <f t="shared" si="3"/>
        <v>90815.30975</v>
      </c>
      <c r="F36" s="7">
        <f t="shared" si="4"/>
        <v>190712.150475</v>
      </c>
      <c r="G36" s="7">
        <f t="shared" si="5"/>
        <v>190.71215047500002</v>
      </c>
      <c r="H36" s="7">
        <f t="shared" si="6"/>
        <v>133498.5053325</v>
      </c>
      <c r="I36" s="78">
        <f t="shared" si="7"/>
        <v>133.4985053325</v>
      </c>
      <c r="J36" s="84"/>
      <c r="K36" s="85"/>
      <c r="L36" s="85"/>
      <c r="M36" s="90"/>
      <c r="N36" s="84"/>
      <c r="O36" s="85"/>
      <c r="P36" s="85"/>
      <c r="Q36" s="105"/>
    </row>
    <row r="37" spans="1:17">
      <c r="A37" s="50"/>
      <c r="B37" s="6" t="s">
        <v>2</v>
      </c>
      <c r="C37" s="6">
        <v>8</v>
      </c>
      <c r="D37" s="7">
        <v>293938.40000000002</v>
      </c>
      <c r="E37" s="7">
        <f t="shared" si="3"/>
        <v>88916.366000000009</v>
      </c>
      <c r="F37" s="7">
        <f t="shared" si="4"/>
        <v>186724.36860000002</v>
      </c>
      <c r="G37" s="7">
        <f t="shared" si="5"/>
        <v>186.72436860000002</v>
      </c>
      <c r="H37" s="7">
        <f t="shared" si="6"/>
        <v>130707.05802</v>
      </c>
      <c r="I37" s="78">
        <f t="shared" si="7"/>
        <v>130.70705802000001</v>
      </c>
      <c r="J37" s="84"/>
      <c r="K37" s="85"/>
      <c r="L37" s="85"/>
      <c r="M37" s="90"/>
      <c r="N37" s="84"/>
      <c r="O37" s="85"/>
      <c r="P37" s="85"/>
      <c r="Q37" s="105"/>
    </row>
    <row r="38" spans="1:17">
      <c r="A38" s="50" t="s">
        <v>19</v>
      </c>
      <c r="B38" s="6" t="s">
        <v>1</v>
      </c>
      <c r="C38" s="6">
        <v>8</v>
      </c>
      <c r="D38" s="7">
        <v>74418</v>
      </c>
      <c r="E38" s="7">
        <f t="shared" si="3"/>
        <v>22511.445</v>
      </c>
      <c r="F38" s="7">
        <f t="shared" si="4"/>
        <v>47274.034500000002</v>
      </c>
      <c r="G38" s="7">
        <f t="shared" si="5"/>
        <v>47.274034499999999</v>
      </c>
      <c r="H38" s="7">
        <f t="shared" si="6"/>
        <v>33091.82415</v>
      </c>
      <c r="I38" s="78">
        <f t="shared" si="7"/>
        <v>33.091824150000001</v>
      </c>
      <c r="J38" s="84"/>
      <c r="K38" s="85"/>
      <c r="L38" s="85"/>
      <c r="M38" s="90"/>
      <c r="N38" s="84"/>
      <c r="O38" s="85"/>
      <c r="P38" s="85"/>
      <c r="Q38" s="105"/>
    </row>
    <row r="39" spans="1:17">
      <c r="A39" s="50"/>
      <c r="B39" s="6" t="s">
        <v>2</v>
      </c>
      <c r="C39" s="6">
        <v>5</v>
      </c>
      <c r="D39" s="7">
        <v>75817</v>
      </c>
      <c r="E39" s="7">
        <f t="shared" si="3"/>
        <v>22934.642499999998</v>
      </c>
      <c r="F39" s="7">
        <f t="shared" si="4"/>
        <v>48162.749250000001</v>
      </c>
      <c r="G39" s="7">
        <f t="shared" si="5"/>
        <v>48.162749249999997</v>
      </c>
      <c r="H39" s="7">
        <f t="shared" si="6"/>
        <v>33713.924475</v>
      </c>
      <c r="I39" s="78">
        <f t="shared" si="7"/>
        <v>33.713924474999999</v>
      </c>
      <c r="J39" s="84"/>
      <c r="K39" s="85"/>
      <c r="L39" s="85"/>
      <c r="M39" s="90"/>
      <c r="N39" s="84"/>
      <c r="O39" s="85"/>
      <c r="P39" s="85"/>
      <c r="Q39" s="105"/>
    </row>
    <row r="40" spans="1:17">
      <c r="A40" s="50" t="s">
        <v>20</v>
      </c>
      <c r="B40" s="6" t="s">
        <v>1</v>
      </c>
      <c r="C40" s="6">
        <v>63</v>
      </c>
      <c r="D40" s="7">
        <v>817452</v>
      </c>
      <c r="E40" s="7">
        <f t="shared" si="3"/>
        <v>247279.22999999998</v>
      </c>
      <c r="F40" s="7">
        <f t="shared" si="4"/>
        <v>519286.38299999997</v>
      </c>
      <c r="G40" s="7">
        <f t="shared" si="5"/>
        <v>519.286383</v>
      </c>
      <c r="H40" s="7">
        <f t="shared" si="6"/>
        <v>363500.46809999994</v>
      </c>
      <c r="I40" s="78">
        <f t="shared" si="7"/>
        <v>363.50046809999992</v>
      </c>
      <c r="J40" s="84"/>
      <c r="K40" s="85"/>
      <c r="L40" s="85">
        <v>450</v>
      </c>
      <c r="M40" s="90"/>
      <c r="N40" s="84"/>
      <c r="O40" s="85"/>
      <c r="P40" s="85"/>
      <c r="Q40" s="105"/>
    </row>
    <row r="41" spans="1:17" ht="13.5" thickBot="1">
      <c r="A41" s="51"/>
      <c r="B41" s="9" t="s">
        <v>2</v>
      </c>
      <c r="C41" s="9">
        <v>40</v>
      </c>
      <c r="D41" s="10">
        <v>803001</v>
      </c>
      <c r="E41" s="10">
        <f t="shared" si="3"/>
        <v>242907.80249999999</v>
      </c>
      <c r="F41" s="10">
        <f t="shared" si="4"/>
        <v>510106.38524999999</v>
      </c>
      <c r="G41" s="10">
        <f t="shared" si="5"/>
        <v>510.10638525000002</v>
      </c>
      <c r="H41" s="10">
        <f t="shared" si="6"/>
        <v>357074.469675</v>
      </c>
      <c r="I41" s="79">
        <f t="shared" si="7"/>
        <v>357.07446967499999</v>
      </c>
      <c r="J41" s="86"/>
      <c r="K41" s="87"/>
      <c r="L41" s="87"/>
      <c r="M41" s="91"/>
      <c r="N41" s="86"/>
      <c r="O41" s="87"/>
      <c r="P41" s="87"/>
      <c r="Q41" s="107"/>
    </row>
    <row r="42" spans="1:17">
      <c r="D42" s="72"/>
      <c r="E42" s="72"/>
      <c r="F42" s="72"/>
      <c r="G42" s="72"/>
      <c r="H42" s="72"/>
      <c r="I42" s="72"/>
    </row>
  </sheetData>
  <mergeCells count="21">
    <mergeCell ref="J7:M7"/>
    <mergeCell ref="N7:Q7"/>
    <mergeCell ref="J6:Q6"/>
    <mergeCell ref="A23:A24"/>
    <mergeCell ref="A25:A26"/>
    <mergeCell ref="A40:A41"/>
    <mergeCell ref="A7:B7"/>
    <mergeCell ref="A8:B8"/>
    <mergeCell ref="A9:B9"/>
    <mergeCell ref="A3:I3"/>
    <mergeCell ref="A4:I4"/>
    <mergeCell ref="A27:A28"/>
    <mergeCell ref="A29:A30"/>
    <mergeCell ref="A32:A33"/>
    <mergeCell ref="A34:A35"/>
    <mergeCell ref="A36:A37"/>
    <mergeCell ref="A38:A39"/>
    <mergeCell ref="A10:A11"/>
    <mergeCell ref="A14:A15"/>
    <mergeCell ref="A16:A17"/>
    <mergeCell ref="A21:A22"/>
  </mergeCells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4"/>
  <sheetViews>
    <sheetView topLeftCell="A67" workbookViewId="0">
      <selection activeCell="J10" sqref="J10"/>
    </sheetView>
  </sheetViews>
  <sheetFormatPr defaultRowHeight="12.75"/>
  <cols>
    <col min="1" max="1" width="11.7109375" bestFit="1" customWidth="1"/>
    <col min="2" max="2" width="17.7109375" customWidth="1"/>
    <col min="3" max="3" width="13.5703125" hidden="1" customWidth="1"/>
    <col min="4" max="4" width="13.5703125" customWidth="1"/>
    <col min="5" max="5" width="15.140625" hidden="1" customWidth="1"/>
    <col min="6" max="6" width="9.85546875" bestFit="1" customWidth="1"/>
    <col min="7" max="7" width="13" hidden="1" customWidth="1"/>
    <col min="8" max="8" width="9.5703125" customWidth="1"/>
  </cols>
  <sheetData>
    <row r="1" spans="1:8" ht="21" thickBot="1">
      <c r="A1" s="65" t="s">
        <v>151</v>
      </c>
      <c r="B1" s="65"/>
      <c r="C1" s="65"/>
      <c r="D1" s="65"/>
      <c r="E1" s="65"/>
      <c r="F1" s="65"/>
      <c r="G1" s="65"/>
      <c r="H1" s="65"/>
    </row>
    <row r="2" spans="1:8" ht="14.25" thickBot="1">
      <c r="A2" s="29" t="s">
        <v>25</v>
      </c>
      <c r="B2" s="30" t="s">
        <v>62</v>
      </c>
      <c r="C2" s="31" t="s">
        <v>63</v>
      </c>
      <c r="D2" s="31" t="s">
        <v>64</v>
      </c>
      <c r="E2" s="31" t="s">
        <v>21</v>
      </c>
      <c r="F2" s="31" t="s">
        <v>22</v>
      </c>
      <c r="G2" s="31" t="s">
        <v>23</v>
      </c>
      <c r="H2" s="32" t="s">
        <v>24</v>
      </c>
    </row>
    <row r="3" spans="1:8" ht="14.25" thickBot="1">
      <c r="A3" s="66" t="s">
        <v>65</v>
      </c>
      <c r="B3" s="67"/>
      <c r="C3" s="33">
        <f>C4+C10+C17+C25+C30+C34+C36+C38+C42+C55+C64+C71+C73+C76+C83+C90+C93+C95</f>
        <v>17788811.949999999</v>
      </c>
      <c r="D3" s="33">
        <f t="shared" ref="D3:H3" si="0">D4+D10+D17+D25+D30+D34+D36+D38+D42+D55+D64+D71+D73+D76+D83+D90+D93+D95</f>
        <v>5381115.6148750009</v>
      </c>
      <c r="E3" s="33">
        <f t="shared" si="0"/>
        <v>11300342.791237498</v>
      </c>
      <c r="F3" s="33">
        <f t="shared" si="0"/>
        <v>11300.342791237499</v>
      </c>
      <c r="G3" s="33">
        <f t="shared" si="0"/>
        <v>7910239.953866248</v>
      </c>
      <c r="H3" s="34">
        <f t="shared" si="0"/>
        <v>7910.2399538662503</v>
      </c>
    </row>
    <row r="4" spans="1:8" ht="13.5">
      <c r="A4" s="62" t="s">
        <v>28</v>
      </c>
      <c r="B4" s="35" t="s">
        <v>66</v>
      </c>
      <c r="C4" s="36">
        <f>SUM(C5:C9)</f>
        <v>1835316.3199999998</v>
      </c>
      <c r="D4" s="36">
        <f>SUM(D5:D9)</f>
        <v>555183.18680000002</v>
      </c>
      <c r="E4" s="36">
        <f>SUM(E5:E9)</f>
        <v>1165884.6922800001</v>
      </c>
      <c r="F4" s="36">
        <f>E4/1000</f>
        <v>1165.8846922800001</v>
      </c>
      <c r="G4" s="36">
        <f>SUM(G5:G9)</f>
        <v>816119.28459599998</v>
      </c>
      <c r="H4" s="37">
        <f>SUM(H5:H9)</f>
        <v>816.11928459599994</v>
      </c>
    </row>
    <row r="5" spans="1:8" ht="13.5">
      <c r="A5" s="64"/>
      <c r="B5" s="38" t="s">
        <v>67</v>
      </c>
      <c r="C5" s="39">
        <v>588540</v>
      </c>
      <c r="D5" s="39">
        <f>C5*0.3025</f>
        <v>178033.35</v>
      </c>
      <c r="E5" s="39">
        <f>D5*$B$103</f>
        <v>373870.03500000003</v>
      </c>
      <c r="F5" s="39">
        <f t="shared" ref="F5:F68" si="1">E5/1000</f>
        <v>373.87003500000003</v>
      </c>
      <c r="G5" s="39">
        <f>E5*$B$104</f>
        <v>261709.0245</v>
      </c>
      <c r="H5" s="40">
        <f>G5/1000</f>
        <v>261.7090245</v>
      </c>
    </row>
    <row r="6" spans="1:8" ht="13.5">
      <c r="A6" s="64"/>
      <c r="B6" s="38" t="s">
        <v>68</v>
      </c>
      <c r="C6" s="39">
        <v>301641</v>
      </c>
      <c r="D6" s="39">
        <f t="shared" ref="D6:D69" si="2">C6*0.3025</f>
        <v>91246.402499999997</v>
      </c>
      <c r="E6" s="39">
        <f>D6*$B$103</f>
        <v>191617.44524999999</v>
      </c>
      <c r="F6" s="39">
        <f t="shared" si="1"/>
        <v>191.61744525</v>
      </c>
      <c r="G6" s="39">
        <f>E6*$B$104</f>
        <v>134132.211675</v>
      </c>
      <c r="H6" s="40">
        <f t="shared" ref="H6:H69" si="3">G6/1000</f>
        <v>134.13221167500001</v>
      </c>
    </row>
    <row r="7" spans="1:8" ht="13.5">
      <c r="A7" s="64"/>
      <c r="B7" s="38" t="s">
        <v>69</v>
      </c>
      <c r="C7" s="39">
        <v>684649.32</v>
      </c>
      <c r="D7" s="39">
        <f t="shared" si="2"/>
        <v>207106.41929999998</v>
      </c>
      <c r="E7" s="39">
        <f t="shared" ref="E7:E9" si="4">D7*$B$103</f>
        <v>434923.48053</v>
      </c>
      <c r="F7" s="39">
        <f t="shared" si="1"/>
        <v>434.92348053000001</v>
      </c>
      <c r="G7" s="39">
        <f>E7*$B$104</f>
        <v>304446.43637099996</v>
      </c>
      <c r="H7" s="40">
        <f t="shared" si="3"/>
        <v>304.44643637099995</v>
      </c>
    </row>
    <row r="8" spans="1:8" ht="13.5">
      <c r="A8" s="64"/>
      <c r="B8" s="38" t="s">
        <v>70</v>
      </c>
      <c r="C8" s="39">
        <v>85198</v>
      </c>
      <c r="D8" s="39">
        <f t="shared" si="2"/>
        <v>25772.395</v>
      </c>
      <c r="E8" s="39">
        <f t="shared" si="4"/>
        <v>54122.029500000004</v>
      </c>
      <c r="F8" s="39">
        <f t="shared" si="1"/>
        <v>54.122029500000004</v>
      </c>
      <c r="G8" s="39">
        <f>E8*$B$104</f>
        <v>37885.42065</v>
      </c>
      <c r="H8" s="40">
        <f t="shared" si="3"/>
        <v>37.88542065</v>
      </c>
    </row>
    <row r="9" spans="1:8" ht="14.25" thickBot="1">
      <c r="A9" s="63"/>
      <c r="B9" s="41" t="s">
        <v>71</v>
      </c>
      <c r="C9" s="42">
        <v>175288</v>
      </c>
      <c r="D9" s="42">
        <f t="shared" si="2"/>
        <v>53024.619999999995</v>
      </c>
      <c r="E9" s="42">
        <f t="shared" si="4"/>
        <v>111351.70199999999</v>
      </c>
      <c r="F9" s="42">
        <f t="shared" si="1"/>
        <v>111.35170199999999</v>
      </c>
      <c r="G9" s="42">
        <f>E9*$B$104</f>
        <v>77946.191399999982</v>
      </c>
      <c r="H9" s="43">
        <f t="shared" si="3"/>
        <v>77.946191399999975</v>
      </c>
    </row>
    <row r="10" spans="1:8" ht="13.5">
      <c r="A10" s="62" t="s">
        <v>29</v>
      </c>
      <c r="B10" s="35" t="s">
        <v>66</v>
      </c>
      <c r="C10" s="36">
        <f>SUM(C11:C16)</f>
        <v>149057</v>
      </c>
      <c r="D10" s="36">
        <f>SUM(D11:D16)</f>
        <v>45089.742500000008</v>
      </c>
      <c r="E10" s="36">
        <f>SUM(E11:E16)</f>
        <v>94688.45925</v>
      </c>
      <c r="F10" s="36">
        <f t="shared" si="1"/>
        <v>94.688459249999994</v>
      </c>
      <c r="G10" s="36">
        <f>SUM(G11:G16)</f>
        <v>66281.921474999996</v>
      </c>
      <c r="H10" s="37">
        <f>SUM(H11:H16)</f>
        <v>66.281921475000004</v>
      </c>
    </row>
    <row r="11" spans="1:8" ht="13.5">
      <c r="A11" s="64"/>
      <c r="B11" s="38" t="s">
        <v>72</v>
      </c>
      <c r="C11" s="39">
        <v>76296</v>
      </c>
      <c r="D11" s="39">
        <f t="shared" si="2"/>
        <v>23079.54</v>
      </c>
      <c r="E11" s="39">
        <f>D11*$B$103</f>
        <v>48467.034000000007</v>
      </c>
      <c r="F11" s="39">
        <f t="shared" si="1"/>
        <v>48.467034000000005</v>
      </c>
      <c r="G11" s="39">
        <f t="shared" ref="G11:G16" si="5">E11*$B$104</f>
        <v>33926.923800000004</v>
      </c>
      <c r="H11" s="40">
        <f t="shared" si="3"/>
        <v>33.926923800000004</v>
      </c>
    </row>
    <row r="12" spans="1:8" ht="13.5">
      <c r="A12" s="64"/>
      <c r="B12" s="38" t="s">
        <v>73</v>
      </c>
      <c r="C12" s="39">
        <v>3787</v>
      </c>
      <c r="D12" s="39">
        <f t="shared" si="2"/>
        <v>1145.5674999999999</v>
      </c>
      <c r="E12" s="39">
        <f t="shared" ref="E12:E16" si="6">D12*$B$103</f>
        <v>2405.69175</v>
      </c>
      <c r="F12" s="39">
        <f t="shared" si="1"/>
        <v>2.4056917499999999</v>
      </c>
      <c r="G12" s="39">
        <f t="shared" si="5"/>
        <v>1683.9842249999999</v>
      </c>
      <c r="H12" s="40">
        <f t="shared" si="3"/>
        <v>1.6839842249999999</v>
      </c>
    </row>
    <row r="13" spans="1:8" ht="13.5">
      <c r="A13" s="64"/>
      <c r="B13" s="38" t="s">
        <v>74</v>
      </c>
      <c r="C13" s="39">
        <v>5624</v>
      </c>
      <c r="D13" s="39">
        <f t="shared" si="2"/>
        <v>1701.26</v>
      </c>
      <c r="E13" s="39">
        <f t="shared" si="6"/>
        <v>3572.6460000000002</v>
      </c>
      <c r="F13" s="39">
        <f t="shared" si="1"/>
        <v>3.5726460000000002</v>
      </c>
      <c r="G13" s="39">
        <f t="shared" si="5"/>
        <v>2500.8521999999998</v>
      </c>
      <c r="H13" s="40">
        <f t="shared" si="3"/>
        <v>2.5008521999999997</v>
      </c>
    </row>
    <row r="14" spans="1:8" ht="13.5">
      <c r="A14" s="64"/>
      <c r="B14" s="38" t="s">
        <v>75</v>
      </c>
      <c r="C14" s="39">
        <v>15967</v>
      </c>
      <c r="D14" s="39">
        <f t="shared" si="2"/>
        <v>4830.0174999999999</v>
      </c>
      <c r="E14" s="39">
        <f t="shared" si="6"/>
        <v>10143.036750000001</v>
      </c>
      <c r="F14" s="39">
        <f t="shared" si="1"/>
        <v>10.14303675</v>
      </c>
      <c r="G14" s="39">
        <f t="shared" si="5"/>
        <v>7100.1257250000008</v>
      </c>
      <c r="H14" s="40">
        <f t="shared" si="3"/>
        <v>7.1001257250000007</v>
      </c>
    </row>
    <row r="15" spans="1:8" ht="13.5">
      <c r="A15" s="64"/>
      <c r="B15" s="38" t="s">
        <v>76</v>
      </c>
      <c r="C15" s="39">
        <v>17335</v>
      </c>
      <c r="D15" s="39">
        <f t="shared" si="2"/>
        <v>5243.8374999999996</v>
      </c>
      <c r="E15" s="39">
        <f t="shared" si="6"/>
        <v>11012.05875</v>
      </c>
      <c r="F15" s="39">
        <f t="shared" si="1"/>
        <v>11.01205875</v>
      </c>
      <c r="G15" s="39">
        <f t="shared" si="5"/>
        <v>7708.4411249999994</v>
      </c>
      <c r="H15" s="40">
        <f t="shared" si="3"/>
        <v>7.7084411249999993</v>
      </c>
    </row>
    <row r="16" spans="1:8" ht="14.25" thickBot="1">
      <c r="A16" s="63"/>
      <c r="B16" s="41" t="s">
        <v>77</v>
      </c>
      <c r="C16" s="42">
        <v>30048</v>
      </c>
      <c r="D16" s="42">
        <f t="shared" si="2"/>
        <v>9089.52</v>
      </c>
      <c r="E16" s="42">
        <f t="shared" si="6"/>
        <v>19087.992000000002</v>
      </c>
      <c r="F16" s="42">
        <f t="shared" si="1"/>
        <v>19.087992000000003</v>
      </c>
      <c r="G16" s="42">
        <f t="shared" si="5"/>
        <v>13361.5944</v>
      </c>
      <c r="H16" s="43">
        <f t="shared" si="3"/>
        <v>13.3615944</v>
      </c>
    </row>
    <row r="17" spans="1:8" ht="13.5">
      <c r="A17" s="62" t="s">
        <v>30</v>
      </c>
      <c r="B17" s="35" t="s">
        <v>66</v>
      </c>
      <c r="C17" s="44">
        <f>SUM(C18:C24)</f>
        <v>1255059</v>
      </c>
      <c r="D17" s="44">
        <f>SUM(D18:D24)</f>
        <v>379655.34750000003</v>
      </c>
      <c r="E17" s="44">
        <f>SUM(E18:E24)</f>
        <v>797276.22974999994</v>
      </c>
      <c r="F17" s="44">
        <f t="shared" si="1"/>
        <v>797.27622974999997</v>
      </c>
      <c r="G17" s="44">
        <f>SUM(G18:G24)</f>
        <v>558093.36082499987</v>
      </c>
      <c r="H17" s="45">
        <f>SUM(H18:H24)</f>
        <v>558.09336082499999</v>
      </c>
    </row>
    <row r="18" spans="1:8" ht="13.5">
      <c r="A18" s="64"/>
      <c r="B18" s="38" t="s">
        <v>78</v>
      </c>
      <c r="C18" s="39">
        <v>63569</v>
      </c>
      <c r="D18" s="39">
        <f t="shared" si="2"/>
        <v>19229.622499999998</v>
      </c>
      <c r="E18" s="39">
        <f t="shared" ref="E18:E24" si="7">D18*$B$103</f>
        <v>40382.207249999999</v>
      </c>
      <c r="F18" s="39">
        <f t="shared" si="1"/>
        <v>40.38220725</v>
      </c>
      <c r="G18" s="39">
        <f t="shared" ref="G18:G24" si="8">E18*$B$104</f>
        <v>28267.545074999998</v>
      </c>
      <c r="H18" s="40">
        <f t="shared" si="3"/>
        <v>28.267545074999997</v>
      </c>
    </row>
    <row r="19" spans="1:8" ht="13.5">
      <c r="A19" s="64"/>
      <c r="B19" s="38" t="s">
        <v>79</v>
      </c>
      <c r="C19" s="39">
        <v>37960</v>
      </c>
      <c r="D19" s="39">
        <f t="shared" si="2"/>
        <v>11482.9</v>
      </c>
      <c r="E19" s="39">
        <f t="shared" si="7"/>
        <v>24114.09</v>
      </c>
      <c r="F19" s="39">
        <f t="shared" si="1"/>
        <v>24.114090000000001</v>
      </c>
      <c r="G19" s="39">
        <f t="shared" si="8"/>
        <v>16879.862999999998</v>
      </c>
      <c r="H19" s="40">
        <f t="shared" si="3"/>
        <v>16.879862999999997</v>
      </c>
    </row>
    <row r="20" spans="1:8" ht="13.5">
      <c r="A20" s="64"/>
      <c r="B20" s="38" t="s">
        <v>80</v>
      </c>
      <c r="C20" s="39">
        <v>1017226</v>
      </c>
      <c r="D20" s="39">
        <f t="shared" si="2"/>
        <v>307710.86499999999</v>
      </c>
      <c r="E20" s="39">
        <f t="shared" si="7"/>
        <v>646192.81649999996</v>
      </c>
      <c r="F20" s="39">
        <f t="shared" si="1"/>
        <v>646.19281649999994</v>
      </c>
      <c r="G20" s="39">
        <f t="shared" si="8"/>
        <v>452334.97154999996</v>
      </c>
      <c r="H20" s="40">
        <f t="shared" si="3"/>
        <v>452.33497154999998</v>
      </c>
    </row>
    <row r="21" spans="1:8" ht="13.5">
      <c r="A21" s="64"/>
      <c r="B21" s="38" t="s">
        <v>81</v>
      </c>
      <c r="C21" s="39">
        <v>26093</v>
      </c>
      <c r="D21" s="39">
        <f t="shared" si="2"/>
        <v>7893.1324999999997</v>
      </c>
      <c r="E21" s="39">
        <f t="shared" si="7"/>
        <v>16575.578249999999</v>
      </c>
      <c r="F21" s="39">
        <f t="shared" si="1"/>
        <v>16.57557825</v>
      </c>
      <c r="G21" s="39">
        <f t="shared" si="8"/>
        <v>11602.904774999999</v>
      </c>
      <c r="H21" s="40">
        <f t="shared" si="3"/>
        <v>11.602904774999999</v>
      </c>
    </row>
    <row r="22" spans="1:8" ht="13.5">
      <c r="A22" s="64"/>
      <c r="B22" s="38" t="s">
        <v>82</v>
      </c>
      <c r="C22" s="39">
        <v>16585</v>
      </c>
      <c r="D22" s="39">
        <f t="shared" si="2"/>
        <v>5016.9624999999996</v>
      </c>
      <c r="E22" s="39">
        <f t="shared" si="7"/>
        <v>10535.62125</v>
      </c>
      <c r="F22" s="39">
        <f t="shared" si="1"/>
        <v>10.53562125</v>
      </c>
      <c r="G22" s="39">
        <f t="shared" si="8"/>
        <v>7374.9348749999999</v>
      </c>
      <c r="H22" s="40">
        <f t="shared" si="3"/>
        <v>7.3749348750000001</v>
      </c>
    </row>
    <row r="23" spans="1:8" ht="13.5">
      <c r="A23" s="64"/>
      <c r="B23" s="38" t="s">
        <v>83</v>
      </c>
      <c r="C23" s="39">
        <v>73634</v>
      </c>
      <c r="D23" s="39">
        <f t="shared" si="2"/>
        <v>22274.285</v>
      </c>
      <c r="E23" s="39">
        <f t="shared" si="7"/>
        <v>46775.998500000002</v>
      </c>
      <c r="F23" s="39">
        <f t="shared" si="1"/>
        <v>46.7759985</v>
      </c>
      <c r="G23" s="39">
        <f t="shared" si="8"/>
        <v>32743.198949999998</v>
      </c>
      <c r="H23" s="40">
        <f t="shared" si="3"/>
        <v>32.74319895</v>
      </c>
    </row>
    <row r="24" spans="1:8" ht="14.25" thickBot="1">
      <c r="A24" s="63"/>
      <c r="B24" s="41" t="s">
        <v>84</v>
      </c>
      <c r="C24" s="42">
        <v>19992</v>
      </c>
      <c r="D24" s="42">
        <f t="shared" si="2"/>
        <v>6047.58</v>
      </c>
      <c r="E24" s="42">
        <f t="shared" si="7"/>
        <v>12699.918</v>
      </c>
      <c r="F24" s="42">
        <f t="shared" si="1"/>
        <v>12.699918</v>
      </c>
      <c r="G24" s="42">
        <f t="shared" si="8"/>
        <v>8889.9425999999985</v>
      </c>
      <c r="H24" s="43">
        <f t="shared" si="3"/>
        <v>8.8899425999999977</v>
      </c>
    </row>
    <row r="25" spans="1:8" ht="13.5">
      <c r="A25" s="62" t="s">
        <v>31</v>
      </c>
      <c r="B25" s="35" t="s">
        <v>66</v>
      </c>
      <c r="C25" s="36">
        <f>SUM(C26:C29)</f>
        <v>1033092</v>
      </c>
      <c r="D25" s="36">
        <f>SUM(D26:D29)</f>
        <v>312510.33</v>
      </c>
      <c r="E25" s="36">
        <f>SUM(E26:E29)</f>
        <v>656271.69299999997</v>
      </c>
      <c r="F25" s="36">
        <f t="shared" si="1"/>
        <v>656.27169299999991</v>
      </c>
      <c r="G25" s="36">
        <f>SUM(G26:G29)</f>
        <v>459390.1851</v>
      </c>
      <c r="H25" s="37">
        <f>SUM(H26:H29)</f>
        <v>459.3901851</v>
      </c>
    </row>
    <row r="26" spans="1:8" ht="13.5">
      <c r="A26" s="64"/>
      <c r="B26" s="38" t="s">
        <v>85</v>
      </c>
      <c r="C26" s="39">
        <v>2486</v>
      </c>
      <c r="D26" s="39">
        <f t="shared" si="2"/>
        <v>752.01499999999999</v>
      </c>
      <c r="E26" s="39">
        <f t="shared" ref="E26:E29" si="9">D26*$B$103</f>
        <v>1579.2315000000001</v>
      </c>
      <c r="F26" s="39">
        <f t="shared" si="1"/>
        <v>1.5792315000000001</v>
      </c>
      <c r="G26" s="39">
        <f>E26*$B$104</f>
        <v>1105.4620500000001</v>
      </c>
      <c r="H26" s="40">
        <f t="shared" si="3"/>
        <v>1.1054620500000001</v>
      </c>
    </row>
    <row r="27" spans="1:8" ht="13.5">
      <c r="A27" s="64"/>
      <c r="B27" s="38" t="s">
        <v>86</v>
      </c>
      <c r="C27" s="39">
        <v>533775</v>
      </c>
      <c r="D27" s="39">
        <f t="shared" si="2"/>
        <v>161466.9375</v>
      </c>
      <c r="E27" s="39">
        <f t="shared" si="9"/>
        <v>339080.56875000003</v>
      </c>
      <c r="F27" s="39">
        <f t="shared" si="1"/>
        <v>339.08056875000005</v>
      </c>
      <c r="G27" s="39">
        <f>E27*$B$104</f>
        <v>237356.39812500001</v>
      </c>
      <c r="H27" s="40">
        <f t="shared" si="3"/>
        <v>237.356398125</v>
      </c>
    </row>
    <row r="28" spans="1:8" ht="13.5">
      <c r="A28" s="64"/>
      <c r="B28" s="38" t="s">
        <v>87</v>
      </c>
      <c r="C28" s="39">
        <v>21852</v>
      </c>
      <c r="D28" s="39">
        <f t="shared" si="2"/>
        <v>6610.23</v>
      </c>
      <c r="E28" s="39">
        <f t="shared" si="9"/>
        <v>13881.483</v>
      </c>
      <c r="F28" s="39">
        <f t="shared" si="1"/>
        <v>13.881482999999999</v>
      </c>
      <c r="G28" s="39">
        <f>E28*$B$104</f>
        <v>9717.0380999999998</v>
      </c>
      <c r="H28" s="40">
        <f t="shared" si="3"/>
        <v>9.7170380999999999</v>
      </c>
    </row>
    <row r="29" spans="1:8" ht="14.25" thickBot="1">
      <c r="A29" s="63"/>
      <c r="B29" s="41" t="s">
        <v>88</v>
      </c>
      <c r="C29" s="42">
        <v>474979</v>
      </c>
      <c r="D29" s="42">
        <f t="shared" si="2"/>
        <v>143681.14749999999</v>
      </c>
      <c r="E29" s="42">
        <f t="shared" si="9"/>
        <v>301730.40974999999</v>
      </c>
      <c r="F29" s="42">
        <f t="shared" si="1"/>
        <v>301.73040974999998</v>
      </c>
      <c r="G29" s="42">
        <f>E29*$B$104</f>
        <v>211211.28682499999</v>
      </c>
      <c r="H29" s="43">
        <f t="shared" si="3"/>
        <v>211.211286825</v>
      </c>
    </row>
    <row r="30" spans="1:8" ht="13.5">
      <c r="A30" s="62" t="s">
        <v>32</v>
      </c>
      <c r="B30" s="35" t="s">
        <v>66</v>
      </c>
      <c r="C30" s="36">
        <f>SUM(C31:C33)</f>
        <v>470726.5</v>
      </c>
      <c r="D30" s="36">
        <f>SUM(D31:D33)</f>
        <v>142394.76624999999</v>
      </c>
      <c r="E30" s="36">
        <f>SUM(E31:E33)</f>
        <v>299029.00912499998</v>
      </c>
      <c r="F30" s="36">
        <f t="shared" si="1"/>
        <v>299.02900912499996</v>
      </c>
      <c r="G30" s="36">
        <f>SUM(G31:G33)</f>
        <v>209320.30638749999</v>
      </c>
      <c r="H30" s="37">
        <f>SUM(H31:H33)</f>
        <v>209.32030638750001</v>
      </c>
    </row>
    <row r="31" spans="1:8" ht="13.5">
      <c r="A31" s="64"/>
      <c r="B31" s="38" t="s">
        <v>89</v>
      </c>
      <c r="C31" s="39">
        <v>83333</v>
      </c>
      <c r="D31" s="39">
        <f t="shared" si="2"/>
        <v>25208.232499999998</v>
      </c>
      <c r="E31" s="39">
        <f t="shared" ref="E31:E33" si="10">D31*$B$103</f>
        <v>52937.288249999998</v>
      </c>
      <c r="F31" s="39">
        <f t="shared" si="1"/>
        <v>52.937288249999995</v>
      </c>
      <c r="G31" s="39">
        <f>E31*$B$104</f>
        <v>37056.101774999996</v>
      </c>
      <c r="H31" s="40">
        <f t="shared" si="3"/>
        <v>37.056101774999995</v>
      </c>
    </row>
    <row r="32" spans="1:8" ht="13.5">
      <c r="A32" s="64"/>
      <c r="B32" s="38" t="s">
        <v>90</v>
      </c>
      <c r="C32" s="39">
        <v>9310</v>
      </c>
      <c r="D32" s="39">
        <f t="shared" si="2"/>
        <v>2816.2750000000001</v>
      </c>
      <c r="E32" s="39">
        <f t="shared" si="10"/>
        <v>5914.1775000000007</v>
      </c>
      <c r="F32" s="39">
        <f t="shared" si="1"/>
        <v>5.914177500000001</v>
      </c>
      <c r="G32" s="39">
        <f>E32*$B$104</f>
        <v>4139.92425</v>
      </c>
      <c r="H32" s="40">
        <f t="shared" si="3"/>
        <v>4.13992425</v>
      </c>
    </row>
    <row r="33" spans="1:8" ht="14.25" thickBot="1">
      <c r="A33" s="63"/>
      <c r="B33" s="41" t="s">
        <v>91</v>
      </c>
      <c r="C33" s="42">
        <v>378083.5</v>
      </c>
      <c r="D33" s="42">
        <f t="shared" si="2"/>
        <v>114370.25874999999</v>
      </c>
      <c r="E33" s="42">
        <f t="shared" si="10"/>
        <v>240177.54337500001</v>
      </c>
      <c r="F33" s="42">
        <f t="shared" si="1"/>
        <v>240.177543375</v>
      </c>
      <c r="G33" s="42">
        <f>E33*$B$104</f>
        <v>168124.28036249999</v>
      </c>
      <c r="H33" s="43">
        <f t="shared" si="3"/>
        <v>168.1242803625</v>
      </c>
    </row>
    <row r="34" spans="1:8" ht="13.5">
      <c r="A34" s="62" t="s">
        <v>33</v>
      </c>
      <c r="B34" s="35" t="s">
        <v>66</v>
      </c>
      <c r="C34" s="36">
        <v>201266</v>
      </c>
      <c r="D34" s="36">
        <f>C34*0.3025</f>
        <v>60882.964999999997</v>
      </c>
      <c r="E34" s="36">
        <f>D34*2.1</f>
        <v>127854.2265</v>
      </c>
      <c r="F34" s="36">
        <f t="shared" si="1"/>
        <v>127.85422650000001</v>
      </c>
      <c r="G34" s="36">
        <f>E34*0.7</f>
        <v>89497.958549999996</v>
      </c>
      <c r="H34" s="37">
        <f>G34/1000</f>
        <v>89.497958549999993</v>
      </c>
    </row>
    <row r="35" spans="1:8" ht="14.25" thickBot="1">
      <c r="A35" s="63"/>
      <c r="B35" s="41" t="s">
        <v>92</v>
      </c>
      <c r="C35" s="42">
        <v>201266</v>
      </c>
      <c r="D35" s="42">
        <f t="shared" si="2"/>
        <v>60882.964999999997</v>
      </c>
      <c r="E35" s="42">
        <f>D35*$B$103</f>
        <v>127854.2265</v>
      </c>
      <c r="F35" s="42">
        <f t="shared" si="1"/>
        <v>127.85422650000001</v>
      </c>
      <c r="G35" s="42">
        <f>E35*$B$104</f>
        <v>89497.958549999996</v>
      </c>
      <c r="H35" s="43">
        <f t="shared" si="3"/>
        <v>89.497958549999993</v>
      </c>
    </row>
    <row r="36" spans="1:8" ht="13.5">
      <c r="A36" s="62" t="s">
        <v>34</v>
      </c>
      <c r="B36" s="35" t="s">
        <v>66</v>
      </c>
      <c r="C36" s="36">
        <v>31722</v>
      </c>
      <c r="D36" s="36">
        <f>C36*0.3025</f>
        <v>9595.9049999999988</v>
      </c>
      <c r="E36" s="36">
        <f>D36*2.1</f>
        <v>20151.4005</v>
      </c>
      <c r="F36" s="36">
        <f t="shared" si="1"/>
        <v>20.151400500000001</v>
      </c>
      <c r="G36" s="36">
        <f>E36*0.7</f>
        <v>14105.98035</v>
      </c>
      <c r="H36" s="37">
        <f>G36/1000</f>
        <v>14.105980349999999</v>
      </c>
    </row>
    <row r="37" spans="1:8" ht="14.25" thickBot="1">
      <c r="A37" s="63"/>
      <c r="B37" s="41" t="s">
        <v>93</v>
      </c>
      <c r="C37" s="42">
        <v>31722</v>
      </c>
      <c r="D37" s="42">
        <f t="shared" si="2"/>
        <v>9595.9049999999988</v>
      </c>
      <c r="E37" s="42">
        <f>D37*$B$103</f>
        <v>20151.4005</v>
      </c>
      <c r="F37" s="42">
        <f t="shared" si="1"/>
        <v>20.151400500000001</v>
      </c>
      <c r="G37" s="42">
        <f>E37*$B$104</f>
        <v>14105.98035</v>
      </c>
      <c r="H37" s="43">
        <f t="shared" si="3"/>
        <v>14.105980349999999</v>
      </c>
    </row>
    <row r="38" spans="1:8" ht="13.5">
      <c r="A38" s="62" t="s">
        <v>35</v>
      </c>
      <c r="B38" s="35" t="s">
        <v>66</v>
      </c>
      <c r="C38" s="36">
        <f>SUM(C39:C41)</f>
        <v>572153.53</v>
      </c>
      <c r="D38" s="36">
        <f>SUM(D39:D41)</f>
        <v>173076.44282500001</v>
      </c>
      <c r="E38" s="36">
        <f>SUM(E39:E41)</f>
        <v>363460.52993249998</v>
      </c>
      <c r="F38" s="36">
        <f t="shared" si="1"/>
        <v>363.46052993249998</v>
      </c>
      <c r="G38" s="36">
        <f>SUM(G39:G41)</f>
        <v>254422.37095274997</v>
      </c>
      <c r="H38" s="37">
        <f>SUM(H39:H41)</f>
        <v>254.42237095274999</v>
      </c>
    </row>
    <row r="39" spans="1:8" ht="13.5">
      <c r="A39" s="64"/>
      <c r="B39" s="38" t="s">
        <v>94</v>
      </c>
      <c r="C39" s="39">
        <v>27572</v>
      </c>
      <c r="D39" s="39">
        <f t="shared" si="2"/>
        <v>8340.5300000000007</v>
      </c>
      <c r="E39" s="39">
        <f t="shared" ref="E39:E41" si="11">D39*$B$103</f>
        <v>17515.113000000001</v>
      </c>
      <c r="F39" s="39">
        <f t="shared" si="1"/>
        <v>17.515112999999999</v>
      </c>
      <c r="G39" s="39">
        <f>E39*$B$104</f>
        <v>12260.579100000001</v>
      </c>
      <c r="H39" s="40">
        <f t="shared" si="3"/>
        <v>12.260579100000001</v>
      </c>
    </row>
    <row r="40" spans="1:8" ht="13.5">
      <c r="A40" s="64"/>
      <c r="B40" s="38" t="s">
        <v>95</v>
      </c>
      <c r="C40" s="39">
        <v>462232.53</v>
      </c>
      <c r="D40" s="39">
        <f t="shared" si="2"/>
        <v>139825.340325</v>
      </c>
      <c r="E40" s="39">
        <f t="shared" si="11"/>
        <v>293633.21468249999</v>
      </c>
      <c r="F40" s="39">
        <f t="shared" si="1"/>
        <v>293.63321468250001</v>
      </c>
      <c r="G40" s="39">
        <f>E40*$B$104</f>
        <v>205543.25027774999</v>
      </c>
      <c r="H40" s="40">
        <f t="shared" si="3"/>
        <v>205.54325027774999</v>
      </c>
    </row>
    <row r="41" spans="1:8" ht="14.25" thickBot="1">
      <c r="A41" s="63"/>
      <c r="B41" s="41" t="s">
        <v>96</v>
      </c>
      <c r="C41" s="42">
        <v>82349</v>
      </c>
      <c r="D41" s="42">
        <f t="shared" si="2"/>
        <v>24910.572499999998</v>
      </c>
      <c r="E41" s="42">
        <f t="shared" si="11"/>
        <v>52312.202250000002</v>
      </c>
      <c r="F41" s="42">
        <f t="shared" si="1"/>
        <v>52.312202249999999</v>
      </c>
      <c r="G41" s="42">
        <f>E41*$B$104</f>
        <v>36618.541574999996</v>
      </c>
      <c r="H41" s="43">
        <f t="shared" si="3"/>
        <v>36.618541574999995</v>
      </c>
    </row>
    <row r="42" spans="1:8" ht="13.5">
      <c r="A42" s="62" t="s">
        <v>36</v>
      </c>
      <c r="B42" s="35" t="s">
        <v>66</v>
      </c>
      <c r="C42" s="36">
        <f>SUM(C43:C54)</f>
        <v>4697268.0999999996</v>
      </c>
      <c r="D42" s="36">
        <f>SUM(D43:D54)</f>
        <v>1420923.6002499999</v>
      </c>
      <c r="E42" s="36">
        <f>SUM(E43:E54)</f>
        <v>2983939.5605249996</v>
      </c>
      <c r="F42" s="36">
        <f t="shared" si="1"/>
        <v>2983.9395605249997</v>
      </c>
      <c r="G42" s="36">
        <f>SUM(G43:G54)</f>
        <v>2088757.6923674997</v>
      </c>
      <c r="H42" s="37">
        <f>SUM(H43:H54)</f>
        <v>2088.7576923674997</v>
      </c>
    </row>
    <row r="43" spans="1:8" ht="13.5">
      <c r="A43" s="64"/>
      <c r="B43" s="38" t="s">
        <v>97</v>
      </c>
      <c r="C43" s="39">
        <v>314270</v>
      </c>
      <c r="D43" s="39">
        <f t="shared" si="2"/>
        <v>95066.675000000003</v>
      </c>
      <c r="E43" s="39">
        <f t="shared" ref="E43:E54" si="12">D43*$B$103</f>
        <v>199640.01750000002</v>
      </c>
      <c r="F43" s="39">
        <f t="shared" si="1"/>
        <v>199.64001750000003</v>
      </c>
      <c r="G43" s="39">
        <f t="shared" ref="G43:G54" si="13">E43*$B$104</f>
        <v>139748.01225</v>
      </c>
      <c r="H43" s="40">
        <f t="shared" si="3"/>
        <v>139.74801224999999</v>
      </c>
    </row>
    <row r="44" spans="1:8" ht="13.5">
      <c r="A44" s="64"/>
      <c r="B44" s="38" t="s">
        <v>98</v>
      </c>
      <c r="C44" s="39">
        <v>208089</v>
      </c>
      <c r="D44" s="39">
        <f t="shared" si="2"/>
        <v>62946.922500000001</v>
      </c>
      <c r="E44" s="39">
        <f t="shared" si="12"/>
        <v>132188.53724999999</v>
      </c>
      <c r="F44" s="39">
        <f t="shared" si="1"/>
        <v>132.18853725</v>
      </c>
      <c r="G44" s="39">
        <f t="shared" si="13"/>
        <v>92531.976074999984</v>
      </c>
      <c r="H44" s="40">
        <f t="shared" si="3"/>
        <v>92.531976074999989</v>
      </c>
    </row>
    <row r="45" spans="1:8" ht="13.5">
      <c r="A45" s="64"/>
      <c r="B45" s="38" t="s">
        <v>99</v>
      </c>
      <c r="C45" s="39">
        <v>579346.6</v>
      </c>
      <c r="D45" s="39">
        <f t="shared" si="2"/>
        <v>175252.34649999999</v>
      </c>
      <c r="E45" s="39">
        <f t="shared" si="12"/>
        <v>368029.92764999997</v>
      </c>
      <c r="F45" s="39">
        <f t="shared" si="1"/>
        <v>368.02992764999999</v>
      </c>
      <c r="G45" s="39">
        <f t="shared" si="13"/>
        <v>257620.94935499996</v>
      </c>
      <c r="H45" s="40">
        <f t="shared" si="3"/>
        <v>257.62094935499994</v>
      </c>
    </row>
    <row r="46" spans="1:8" ht="13.5">
      <c r="A46" s="64"/>
      <c r="B46" s="38" t="s">
        <v>100</v>
      </c>
      <c r="C46" s="39">
        <v>285328</v>
      </c>
      <c r="D46" s="39">
        <f t="shared" si="2"/>
        <v>86311.72</v>
      </c>
      <c r="E46" s="39">
        <f t="shared" si="12"/>
        <v>181254.61200000002</v>
      </c>
      <c r="F46" s="39">
        <f t="shared" si="1"/>
        <v>181.25461200000001</v>
      </c>
      <c r="G46" s="39">
        <f t="shared" si="13"/>
        <v>126878.22840000001</v>
      </c>
      <c r="H46" s="40">
        <f t="shared" si="3"/>
        <v>126.87822840000001</v>
      </c>
    </row>
    <row r="47" spans="1:8" ht="13.5">
      <c r="A47" s="64"/>
      <c r="B47" s="38" t="s">
        <v>101</v>
      </c>
      <c r="C47" s="39">
        <v>380830</v>
      </c>
      <c r="D47" s="39">
        <f t="shared" si="2"/>
        <v>115201.075</v>
      </c>
      <c r="E47" s="39">
        <f t="shared" si="12"/>
        <v>241922.25750000001</v>
      </c>
      <c r="F47" s="39">
        <f t="shared" si="1"/>
        <v>241.9222575</v>
      </c>
      <c r="G47" s="39">
        <f t="shared" si="13"/>
        <v>169345.58025</v>
      </c>
      <c r="H47" s="40">
        <f t="shared" si="3"/>
        <v>169.34558025000001</v>
      </c>
    </row>
    <row r="48" spans="1:8" ht="13.5">
      <c r="A48" s="64"/>
      <c r="B48" s="38" t="s">
        <v>102</v>
      </c>
      <c r="C48" s="39">
        <v>266431.90000000002</v>
      </c>
      <c r="D48" s="39">
        <f t="shared" si="2"/>
        <v>80595.649750000011</v>
      </c>
      <c r="E48" s="39">
        <f t="shared" si="12"/>
        <v>169250.86447500004</v>
      </c>
      <c r="F48" s="39">
        <f t="shared" si="1"/>
        <v>169.25086447500004</v>
      </c>
      <c r="G48" s="39">
        <f t="shared" si="13"/>
        <v>118475.60513250002</v>
      </c>
      <c r="H48" s="40">
        <f t="shared" si="3"/>
        <v>118.47560513250002</v>
      </c>
    </row>
    <row r="49" spans="1:8" ht="13.5">
      <c r="A49" s="64"/>
      <c r="B49" s="38" t="s">
        <v>103</v>
      </c>
      <c r="C49" s="39">
        <v>664693</v>
      </c>
      <c r="D49" s="39">
        <f t="shared" si="2"/>
        <v>201069.63250000001</v>
      </c>
      <c r="E49" s="39">
        <f t="shared" si="12"/>
        <v>422246.22825000004</v>
      </c>
      <c r="F49" s="39">
        <f t="shared" si="1"/>
        <v>422.24622825000006</v>
      </c>
      <c r="G49" s="39">
        <f t="shared" si="13"/>
        <v>295572.35977500002</v>
      </c>
      <c r="H49" s="40">
        <f t="shared" si="3"/>
        <v>295.572359775</v>
      </c>
    </row>
    <row r="50" spans="1:8" ht="13.5">
      <c r="A50" s="64"/>
      <c r="B50" s="38" t="s">
        <v>104</v>
      </c>
      <c r="C50" s="39">
        <v>480080.5</v>
      </c>
      <c r="D50" s="39">
        <f t="shared" si="2"/>
        <v>145224.35125000001</v>
      </c>
      <c r="E50" s="39">
        <f t="shared" si="12"/>
        <v>304971.13762500003</v>
      </c>
      <c r="F50" s="39">
        <f t="shared" si="1"/>
        <v>304.97113762500004</v>
      </c>
      <c r="G50" s="39">
        <f t="shared" si="13"/>
        <v>213479.79633750001</v>
      </c>
      <c r="H50" s="40">
        <f t="shared" si="3"/>
        <v>213.47979633750001</v>
      </c>
    </row>
    <row r="51" spans="1:8" ht="13.5">
      <c r="A51" s="64"/>
      <c r="B51" s="38" t="s">
        <v>105</v>
      </c>
      <c r="C51" s="39">
        <v>172261</v>
      </c>
      <c r="D51" s="39">
        <f t="shared" si="2"/>
        <v>52108.952499999999</v>
      </c>
      <c r="E51" s="39">
        <f t="shared" si="12"/>
        <v>109428.80025</v>
      </c>
      <c r="F51" s="39">
        <f t="shared" si="1"/>
        <v>109.42880024999999</v>
      </c>
      <c r="G51" s="39">
        <f t="shared" si="13"/>
        <v>76600.160174999997</v>
      </c>
      <c r="H51" s="40">
        <f t="shared" si="3"/>
        <v>76.600160174999999</v>
      </c>
    </row>
    <row r="52" spans="1:8" ht="13.5">
      <c r="A52" s="64"/>
      <c r="B52" s="38" t="s">
        <v>106</v>
      </c>
      <c r="C52" s="39">
        <v>372779.4</v>
      </c>
      <c r="D52" s="39">
        <f t="shared" si="2"/>
        <v>112765.76850000001</v>
      </c>
      <c r="E52" s="39">
        <f t="shared" si="12"/>
        <v>236808.11385000002</v>
      </c>
      <c r="F52" s="39">
        <f t="shared" si="1"/>
        <v>236.80811385000001</v>
      </c>
      <c r="G52" s="39">
        <f t="shared" si="13"/>
        <v>165765.679695</v>
      </c>
      <c r="H52" s="40">
        <f t="shared" si="3"/>
        <v>165.76567969499999</v>
      </c>
    </row>
    <row r="53" spans="1:8" ht="13.5">
      <c r="A53" s="64"/>
      <c r="B53" s="38" t="s">
        <v>107</v>
      </c>
      <c r="C53" s="39">
        <v>613785.19999999995</v>
      </c>
      <c r="D53" s="39">
        <f t="shared" si="2"/>
        <v>185670.02299999999</v>
      </c>
      <c r="E53" s="39">
        <f t="shared" si="12"/>
        <v>389907.04829999997</v>
      </c>
      <c r="F53" s="39">
        <f t="shared" si="1"/>
        <v>389.90704829999999</v>
      </c>
      <c r="G53" s="39">
        <f t="shared" si="13"/>
        <v>272934.93380999996</v>
      </c>
      <c r="H53" s="40">
        <f t="shared" si="3"/>
        <v>272.93493380999996</v>
      </c>
    </row>
    <row r="54" spans="1:8" ht="14.25" thickBot="1">
      <c r="A54" s="63"/>
      <c r="B54" s="41" t="s">
        <v>108</v>
      </c>
      <c r="C54" s="42">
        <v>359373.5</v>
      </c>
      <c r="D54" s="42">
        <f t="shared" si="2"/>
        <v>108710.48375</v>
      </c>
      <c r="E54" s="42">
        <f t="shared" si="12"/>
        <v>228292.01587500001</v>
      </c>
      <c r="F54" s="42">
        <f t="shared" si="1"/>
        <v>228.292015875</v>
      </c>
      <c r="G54" s="42">
        <f t="shared" si="13"/>
        <v>159804.41111250001</v>
      </c>
      <c r="H54" s="43">
        <f t="shared" si="3"/>
        <v>159.80441111249999</v>
      </c>
    </row>
    <row r="55" spans="1:8" ht="13.5">
      <c r="A55" s="62" t="s">
        <v>37</v>
      </c>
      <c r="B55" s="35" t="s">
        <v>66</v>
      </c>
      <c r="C55" s="36">
        <f>SUM(C56:C63)</f>
        <v>1532686.2000000002</v>
      </c>
      <c r="D55" s="36">
        <f>SUM(D56:D63)</f>
        <v>463637.57549999998</v>
      </c>
      <c r="E55" s="36">
        <f>SUM(E56:E63)</f>
        <v>973638.90855000017</v>
      </c>
      <c r="F55" s="36">
        <f t="shared" si="1"/>
        <v>973.63890855000022</v>
      </c>
      <c r="G55" s="36">
        <f>SUM(G56:G63)</f>
        <v>681547.23598500004</v>
      </c>
      <c r="H55" s="37">
        <f>SUM(H56:H63)</f>
        <v>681.54723598499993</v>
      </c>
    </row>
    <row r="56" spans="1:8" ht="13.5">
      <c r="A56" s="64"/>
      <c r="B56" s="38" t="s">
        <v>109</v>
      </c>
      <c r="C56" s="39">
        <v>44253.7</v>
      </c>
      <c r="D56" s="39">
        <f t="shared" si="2"/>
        <v>13386.744249999998</v>
      </c>
      <c r="E56" s="39">
        <f t="shared" ref="E56:E63" si="14">D56*$B$103</f>
        <v>28112.162924999997</v>
      </c>
      <c r="F56" s="39">
        <f t="shared" si="1"/>
        <v>28.112162924999996</v>
      </c>
      <c r="G56" s="39">
        <f t="shared" ref="G56:G63" si="15">E56*$B$104</f>
        <v>19678.514047499997</v>
      </c>
      <c r="H56" s="40">
        <f t="shared" si="3"/>
        <v>19.678514047499998</v>
      </c>
    </row>
    <row r="57" spans="1:8" ht="13.5">
      <c r="A57" s="64"/>
      <c r="B57" s="38" t="s">
        <v>110</v>
      </c>
      <c r="C57" s="39">
        <v>448062.9</v>
      </c>
      <c r="D57" s="39">
        <f t="shared" si="2"/>
        <v>135539.02725000001</v>
      </c>
      <c r="E57" s="39">
        <f t="shared" si="14"/>
        <v>284631.95722500002</v>
      </c>
      <c r="F57" s="39">
        <f t="shared" si="1"/>
        <v>284.63195722500001</v>
      </c>
      <c r="G57" s="39">
        <f t="shared" si="15"/>
        <v>199242.3700575</v>
      </c>
      <c r="H57" s="40">
        <f t="shared" si="3"/>
        <v>199.24237005749998</v>
      </c>
    </row>
    <row r="58" spans="1:8" ht="13.5">
      <c r="A58" s="64"/>
      <c r="B58" s="38" t="s">
        <v>111</v>
      </c>
      <c r="C58" s="39">
        <v>7680</v>
      </c>
      <c r="D58" s="39">
        <f t="shared" si="2"/>
        <v>2323.1999999999998</v>
      </c>
      <c r="E58" s="39">
        <f t="shared" si="14"/>
        <v>4878.72</v>
      </c>
      <c r="F58" s="39">
        <f t="shared" si="1"/>
        <v>4.8787200000000004</v>
      </c>
      <c r="G58" s="39">
        <f t="shared" si="15"/>
        <v>3415.1039999999998</v>
      </c>
      <c r="H58" s="40">
        <f t="shared" si="3"/>
        <v>3.4151039999999999</v>
      </c>
    </row>
    <row r="59" spans="1:8" ht="13.5">
      <c r="A59" s="64"/>
      <c r="B59" s="38" t="s">
        <v>112</v>
      </c>
      <c r="C59" s="39">
        <v>65112.1</v>
      </c>
      <c r="D59" s="39">
        <f t="shared" si="2"/>
        <v>19696.410249999997</v>
      </c>
      <c r="E59" s="39">
        <f t="shared" si="14"/>
        <v>41362.461524999999</v>
      </c>
      <c r="F59" s="39">
        <f t="shared" si="1"/>
        <v>41.362461525000001</v>
      </c>
      <c r="G59" s="39">
        <f t="shared" si="15"/>
        <v>28953.723067499996</v>
      </c>
      <c r="H59" s="40">
        <f t="shared" si="3"/>
        <v>28.953723067499997</v>
      </c>
    </row>
    <row r="60" spans="1:8" ht="13.5">
      <c r="A60" s="64"/>
      <c r="B60" s="38" t="s">
        <v>113</v>
      </c>
      <c r="C60" s="39">
        <v>667049.5</v>
      </c>
      <c r="D60" s="39">
        <f t="shared" si="2"/>
        <v>201782.47375</v>
      </c>
      <c r="E60" s="39">
        <f t="shared" si="14"/>
        <v>423743.19487500004</v>
      </c>
      <c r="F60" s="39">
        <f t="shared" si="1"/>
        <v>423.74319487500003</v>
      </c>
      <c r="G60" s="39">
        <f t="shared" si="15"/>
        <v>296620.23641250003</v>
      </c>
      <c r="H60" s="40">
        <f t="shared" si="3"/>
        <v>296.62023641250005</v>
      </c>
    </row>
    <row r="61" spans="1:8" ht="13.5">
      <c r="A61" s="64"/>
      <c r="B61" s="38" t="s">
        <v>114</v>
      </c>
      <c r="C61" s="39">
        <v>149640</v>
      </c>
      <c r="D61" s="39">
        <f t="shared" si="2"/>
        <v>45266.1</v>
      </c>
      <c r="E61" s="39">
        <f t="shared" si="14"/>
        <v>95058.81</v>
      </c>
      <c r="F61" s="39">
        <f t="shared" si="1"/>
        <v>95.058809999999994</v>
      </c>
      <c r="G61" s="39">
        <f t="shared" si="15"/>
        <v>66541.167000000001</v>
      </c>
      <c r="H61" s="40">
        <f t="shared" si="3"/>
        <v>66.541167000000002</v>
      </c>
    </row>
    <row r="62" spans="1:8" ht="13.5">
      <c r="A62" s="64"/>
      <c r="B62" s="38" t="s">
        <v>115</v>
      </c>
      <c r="C62" s="39">
        <v>98612</v>
      </c>
      <c r="D62" s="39">
        <f t="shared" si="2"/>
        <v>29830.129999999997</v>
      </c>
      <c r="E62" s="39">
        <f t="shared" si="14"/>
        <v>62643.272999999994</v>
      </c>
      <c r="F62" s="39">
        <f t="shared" si="1"/>
        <v>62.643272999999994</v>
      </c>
      <c r="G62" s="39">
        <f t="shared" si="15"/>
        <v>43850.291099999995</v>
      </c>
      <c r="H62" s="40">
        <f t="shared" si="3"/>
        <v>43.850291099999993</v>
      </c>
    </row>
    <row r="63" spans="1:8" ht="14.25" thickBot="1">
      <c r="A63" s="63"/>
      <c r="B63" s="41" t="s">
        <v>116</v>
      </c>
      <c r="C63" s="42">
        <v>52276</v>
      </c>
      <c r="D63" s="42">
        <f t="shared" si="2"/>
        <v>15813.49</v>
      </c>
      <c r="E63" s="42">
        <f t="shared" si="14"/>
        <v>33208.328999999998</v>
      </c>
      <c r="F63" s="42">
        <f t="shared" si="1"/>
        <v>33.208328999999999</v>
      </c>
      <c r="G63" s="42">
        <f t="shared" si="15"/>
        <v>23245.830299999998</v>
      </c>
      <c r="H63" s="43">
        <f t="shared" si="3"/>
        <v>23.245830299999998</v>
      </c>
    </row>
    <row r="64" spans="1:8" ht="13.5">
      <c r="A64" s="62" t="s">
        <v>38</v>
      </c>
      <c r="B64" s="35" t="s">
        <v>66</v>
      </c>
      <c r="C64" s="36">
        <f>SUM(C65:C70)</f>
        <v>1370772.8</v>
      </c>
      <c r="D64" s="36">
        <f>SUM(D65:D70)</f>
        <v>414658.772</v>
      </c>
      <c r="E64" s="36">
        <f>SUM(E65:E70)</f>
        <v>870783.4212000001</v>
      </c>
      <c r="F64" s="36">
        <f t="shared" si="1"/>
        <v>870.78342120000013</v>
      </c>
      <c r="G64" s="36">
        <f>SUM(G65:G70)</f>
        <v>609548.39483999996</v>
      </c>
      <c r="H64" s="37">
        <f>SUM(H65:H70)</f>
        <v>609.54839484000001</v>
      </c>
    </row>
    <row r="65" spans="1:8" ht="13.5">
      <c r="A65" s="64"/>
      <c r="B65" s="38" t="s">
        <v>117</v>
      </c>
      <c r="C65" s="39">
        <v>75288</v>
      </c>
      <c r="D65" s="39">
        <f t="shared" si="2"/>
        <v>22774.62</v>
      </c>
      <c r="E65" s="39">
        <f t="shared" ref="E65:E70" si="16">D65*$B$103</f>
        <v>47826.701999999997</v>
      </c>
      <c r="F65" s="39">
        <f t="shared" si="1"/>
        <v>47.826701999999997</v>
      </c>
      <c r="G65" s="39">
        <f>E65*$B$104</f>
        <v>33478.691399999996</v>
      </c>
      <c r="H65" s="40">
        <f t="shared" si="3"/>
        <v>33.478691399999995</v>
      </c>
    </row>
    <row r="66" spans="1:8" ht="13.5">
      <c r="A66" s="64"/>
      <c r="B66" s="38" t="s">
        <v>118</v>
      </c>
      <c r="C66" s="39">
        <v>67121.8</v>
      </c>
      <c r="D66" s="39">
        <f t="shared" si="2"/>
        <v>20304.344499999999</v>
      </c>
      <c r="E66" s="39">
        <f t="shared" si="16"/>
        <v>42639.123449999999</v>
      </c>
      <c r="F66" s="39">
        <f t="shared" si="1"/>
        <v>42.63912345</v>
      </c>
      <c r="G66" s="39">
        <f>E66*$B$104</f>
        <v>29847.386414999997</v>
      </c>
      <c r="H66" s="40">
        <f t="shared" si="3"/>
        <v>29.847386414999995</v>
      </c>
    </row>
    <row r="67" spans="1:8" ht="13.5">
      <c r="A67" s="64"/>
      <c r="B67" s="38" t="s">
        <v>119</v>
      </c>
      <c r="C67" s="39">
        <v>26675</v>
      </c>
      <c r="D67" s="39">
        <f t="shared" si="2"/>
        <v>8069.1875</v>
      </c>
      <c r="E67" s="39">
        <f t="shared" si="16"/>
        <v>16945.293750000001</v>
      </c>
      <c r="F67" s="39">
        <f t="shared" si="1"/>
        <v>16.945293750000001</v>
      </c>
      <c r="G67" s="39">
        <f>E67*$B$104</f>
        <v>11861.705625000001</v>
      </c>
      <c r="H67" s="40">
        <f t="shared" si="3"/>
        <v>11.861705625000001</v>
      </c>
    </row>
    <row r="68" spans="1:8" ht="13.5">
      <c r="A68" s="64"/>
      <c r="B68" s="38" t="s">
        <v>120</v>
      </c>
      <c r="C68" s="39">
        <v>686169</v>
      </c>
      <c r="D68" s="39">
        <f t="shared" si="2"/>
        <v>207566.1225</v>
      </c>
      <c r="E68" s="39">
        <f t="shared" si="16"/>
        <v>435888.85725</v>
      </c>
      <c r="F68" s="39">
        <f t="shared" si="1"/>
        <v>435.88885725</v>
      </c>
      <c r="G68" s="39">
        <f>E68*$B$104</f>
        <v>305122.200075</v>
      </c>
      <c r="H68" s="40">
        <f t="shared" si="3"/>
        <v>305.12220007500002</v>
      </c>
    </row>
    <row r="69" spans="1:8" ht="13.5">
      <c r="A69" s="64"/>
      <c r="B69" s="38" t="s">
        <v>121</v>
      </c>
      <c r="C69" s="39">
        <v>456312</v>
      </c>
      <c r="D69" s="39">
        <f t="shared" si="2"/>
        <v>138034.38</v>
      </c>
      <c r="E69" s="39">
        <f t="shared" si="16"/>
        <v>289872.19800000003</v>
      </c>
      <c r="F69" s="39">
        <f t="shared" ref="F69:F100" si="17">E69/1000</f>
        <v>289.87219800000003</v>
      </c>
      <c r="G69" s="39">
        <f>E69*$B$104</f>
        <v>202910.5386</v>
      </c>
      <c r="H69" s="40">
        <f t="shared" si="3"/>
        <v>202.9105386</v>
      </c>
    </row>
    <row r="70" spans="1:8" ht="14.25" thickBot="1">
      <c r="A70" s="63"/>
      <c r="B70" s="41" t="s">
        <v>122</v>
      </c>
      <c r="C70" s="42">
        <v>59207</v>
      </c>
      <c r="D70" s="42">
        <f t="shared" ref="D70:D82" si="18">C70*0.3025</f>
        <v>17910.1175</v>
      </c>
      <c r="E70" s="42">
        <f t="shared" si="16"/>
        <v>37611.246750000006</v>
      </c>
      <c r="F70" s="42">
        <f t="shared" si="17"/>
        <v>37.611246750000007</v>
      </c>
      <c r="G70" s="42">
        <f t="shared" ref="G70" si="19">E70*$B$104</f>
        <v>26327.872725000001</v>
      </c>
      <c r="H70" s="43">
        <f t="shared" ref="H70:H82" si="20">G70/1000</f>
        <v>26.327872725000002</v>
      </c>
    </row>
    <row r="71" spans="1:8" ht="13.5">
      <c r="A71" s="62" t="s">
        <v>39</v>
      </c>
      <c r="B71" s="35" t="s">
        <v>66</v>
      </c>
      <c r="C71" s="36">
        <v>155629</v>
      </c>
      <c r="D71" s="36">
        <f>C71*0.3025</f>
        <v>47077.772499999999</v>
      </c>
      <c r="E71" s="36">
        <f t="shared" ref="E71" si="21">D71*2.1</f>
        <v>98863.322249999997</v>
      </c>
      <c r="F71" s="36">
        <f t="shared" si="17"/>
        <v>98.863322249999996</v>
      </c>
      <c r="G71" s="36">
        <f>E71*0.7</f>
        <v>69204.325574999995</v>
      </c>
      <c r="H71" s="37">
        <f>G71/1000</f>
        <v>69.204325574999999</v>
      </c>
    </row>
    <row r="72" spans="1:8" ht="14.25" thickBot="1">
      <c r="A72" s="63"/>
      <c r="B72" s="41" t="s">
        <v>123</v>
      </c>
      <c r="C72" s="42">
        <v>155629</v>
      </c>
      <c r="D72" s="42">
        <f t="shared" si="18"/>
        <v>47077.772499999999</v>
      </c>
      <c r="E72" s="42">
        <f>D72*$B$103</f>
        <v>98863.322249999997</v>
      </c>
      <c r="F72" s="42">
        <f t="shared" si="17"/>
        <v>98.863322249999996</v>
      </c>
      <c r="G72" s="42">
        <f t="shared" ref="G72" si="22">E72*$B$104</f>
        <v>69204.325574999995</v>
      </c>
      <c r="H72" s="43">
        <f t="shared" si="20"/>
        <v>69.204325574999999</v>
      </c>
    </row>
    <row r="73" spans="1:8" ht="13.5">
      <c r="A73" s="62" t="s">
        <v>40</v>
      </c>
      <c r="B73" s="35" t="s">
        <v>66</v>
      </c>
      <c r="C73" s="36">
        <f>SUM(C74:C75)</f>
        <v>104675</v>
      </c>
      <c r="D73" s="36">
        <f>SUM(D74:D75)</f>
        <v>31664.1875</v>
      </c>
      <c r="E73" s="36">
        <f>SUM(E74:E75)</f>
        <v>66494.793749999997</v>
      </c>
      <c r="F73" s="36">
        <f t="shared" si="17"/>
        <v>66.494793749999999</v>
      </c>
      <c r="G73" s="36">
        <f>SUM(G74:G75)</f>
        <v>46546.355624999997</v>
      </c>
      <c r="H73" s="37">
        <f>SUM(H74:H75)</f>
        <v>46.546355624999997</v>
      </c>
    </row>
    <row r="74" spans="1:8" ht="13.5">
      <c r="A74" s="64"/>
      <c r="B74" s="38" t="s">
        <v>124</v>
      </c>
      <c r="C74" s="39">
        <v>43194</v>
      </c>
      <c r="D74" s="39">
        <f t="shared" si="18"/>
        <v>13066.184999999999</v>
      </c>
      <c r="E74" s="39">
        <f t="shared" ref="E74:E75" si="23">D74*$B$103</f>
        <v>27438.988499999999</v>
      </c>
      <c r="F74" s="39">
        <f t="shared" si="17"/>
        <v>27.438988500000001</v>
      </c>
      <c r="G74" s="39">
        <f t="shared" ref="G74:G75" si="24">E74*$B$104</f>
        <v>19207.291949999999</v>
      </c>
      <c r="H74" s="40">
        <f t="shared" si="20"/>
        <v>19.207291949999998</v>
      </c>
    </row>
    <row r="75" spans="1:8" ht="14.25" thickBot="1">
      <c r="A75" s="63"/>
      <c r="B75" s="41" t="s">
        <v>125</v>
      </c>
      <c r="C75" s="42">
        <v>61481</v>
      </c>
      <c r="D75" s="42">
        <f t="shared" si="18"/>
        <v>18598.002499999999</v>
      </c>
      <c r="E75" s="42">
        <f t="shared" si="23"/>
        <v>39055.805249999998</v>
      </c>
      <c r="F75" s="42">
        <f t="shared" si="17"/>
        <v>39.055805249999999</v>
      </c>
      <c r="G75" s="42">
        <f t="shared" si="24"/>
        <v>27339.063674999998</v>
      </c>
      <c r="H75" s="43">
        <f t="shared" si="20"/>
        <v>27.339063674999998</v>
      </c>
    </row>
    <row r="76" spans="1:8" ht="13.5">
      <c r="A76" s="62" t="s">
        <v>41</v>
      </c>
      <c r="B76" s="35" t="s">
        <v>66</v>
      </c>
      <c r="C76" s="36">
        <f>SUM(C77:C82)</f>
        <v>865759.6</v>
      </c>
      <c r="D76" s="36">
        <f>SUM(D77:D82)</f>
        <v>261892.27899999998</v>
      </c>
      <c r="E76" s="36">
        <f>SUM(E77:E82)</f>
        <v>549973.78590000002</v>
      </c>
      <c r="F76" s="36">
        <f t="shared" si="17"/>
        <v>549.97378590000005</v>
      </c>
      <c r="G76" s="36">
        <f>SUM(G77:G82)</f>
        <v>384981.65012999997</v>
      </c>
      <c r="H76" s="37">
        <f>SUM(H77:H82)</f>
        <v>384.98165012999999</v>
      </c>
    </row>
    <row r="77" spans="1:8" ht="13.5">
      <c r="A77" s="64"/>
      <c r="B77" s="38" t="s">
        <v>126</v>
      </c>
      <c r="C77" s="39">
        <v>8544.9</v>
      </c>
      <c r="D77" s="39">
        <f t="shared" si="18"/>
        <v>2584.8322499999999</v>
      </c>
      <c r="E77" s="39">
        <f t="shared" ref="E77:E82" si="25">D77*$B$103</f>
        <v>5428.1477249999998</v>
      </c>
      <c r="F77" s="39">
        <f t="shared" si="17"/>
        <v>5.4281477249999996</v>
      </c>
      <c r="G77" s="39">
        <f t="shared" ref="G77:G82" si="26">E77*$B$104</f>
        <v>3799.7034074999997</v>
      </c>
      <c r="H77" s="40">
        <f t="shared" si="20"/>
        <v>3.7997034074999996</v>
      </c>
    </row>
    <row r="78" spans="1:8" ht="13.5">
      <c r="A78" s="64"/>
      <c r="B78" s="38" t="s">
        <v>127</v>
      </c>
      <c r="C78" s="39">
        <v>91576</v>
      </c>
      <c r="D78" s="39">
        <f t="shared" si="18"/>
        <v>27701.739999999998</v>
      </c>
      <c r="E78" s="39">
        <f t="shared" si="25"/>
        <v>58173.653999999995</v>
      </c>
      <c r="F78" s="39">
        <f t="shared" si="17"/>
        <v>58.173653999999992</v>
      </c>
      <c r="G78" s="39">
        <f t="shared" si="26"/>
        <v>40721.557799999995</v>
      </c>
      <c r="H78" s="40">
        <f t="shared" si="20"/>
        <v>40.721557799999992</v>
      </c>
    </row>
    <row r="79" spans="1:8" ht="13.5">
      <c r="A79" s="64"/>
      <c r="B79" s="38" t="s">
        <v>128</v>
      </c>
      <c r="C79" s="39">
        <v>6776.6</v>
      </c>
      <c r="D79" s="39">
        <f t="shared" si="18"/>
        <v>2049.9214999999999</v>
      </c>
      <c r="E79" s="39">
        <f t="shared" si="25"/>
        <v>4304.8351499999999</v>
      </c>
      <c r="F79" s="39">
        <f t="shared" si="17"/>
        <v>4.3048351499999997</v>
      </c>
      <c r="G79" s="39">
        <f t="shared" si="26"/>
        <v>3013.3846049999997</v>
      </c>
      <c r="H79" s="40">
        <f t="shared" si="20"/>
        <v>3.0133846049999997</v>
      </c>
    </row>
    <row r="80" spans="1:8" ht="13.5">
      <c r="A80" s="64"/>
      <c r="B80" s="38" t="s">
        <v>129</v>
      </c>
      <c r="C80" s="39">
        <v>620944</v>
      </c>
      <c r="D80" s="39">
        <f t="shared" si="18"/>
        <v>187835.56</v>
      </c>
      <c r="E80" s="39">
        <f t="shared" si="25"/>
        <v>394454.67600000004</v>
      </c>
      <c r="F80" s="39">
        <f t="shared" si="17"/>
        <v>394.45467600000006</v>
      </c>
      <c r="G80" s="39">
        <f t="shared" si="26"/>
        <v>276118.2732</v>
      </c>
      <c r="H80" s="40">
        <f t="shared" si="20"/>
        <v>276.11827319999998</v>
      </c>
    </row>
    <row r="81" spans="1:8" ht="13.5">
      <c r="A81" s="64"/>
      <c r="B81" s="38" t="s">
        <v>130</v>
      </c>
      <c r="C81" s="39">
        <v>72231</v>
      </c>
      <c r="D81" s="39">
        <f t="shared" si="18"/>
        <v>21849.877499999999</v>
      </c>
      <c r="E81" s="39">
        <f t="shared" si="25"/>
        <v>45884.742749999998</v>
      </c>
      <c r="F81" s="39">
        <f t="shared" si="17"/>
        <v>45.884742750000001</v>
      </c>
      <c r="G81" s="39">
        <f t="shared" si="26"/>
        <v>32119.319924999996</v>
      </c>
      <c r="H81" s="40">
        <f t="shared" si="20"/>
        <v>32.119319924999999</v>
      </c>
    </row>
    <row r="82" spans="1:8" ht="14.25" thickBot="1">
      <c r="A82" s="63"/>
      <c r="B82" s="41" t="s">
        <v>131</v>
      </c>
      <c r="C82" s="42">
        <v>65687.100000000006</v>
      </c>
      <c r="D82" s="42">
        <f t="shared" si="18"/>
        <v>19870.347750000001</v>
      </c>
      <c r="E82" s="42">
        <f t="shared" si="25"/>
        <v>41727.730275000002</v>
      </c>
      <c r="F82" s="42">
        <f t="shared" si="17"/>
        <v>41.727730274999999</v>
      </c>
      <c r="G82" s="42">
        <f t="shared" si="26"/>
        <v>29209.4111925</v>
      </c>
      <c r="H82" s="43">
        <f t="shared" si="20"/>
        <v>29.209411192499999</v>
      </c>
    </row>
    <row r="83" spans="1:8" ht="13.5">
      <c r="A83" s="62" t="s">
        <v>42</v>
      </c>
      <c r="B83" s="35" t="s">
        <v>66</v>
      </c>
      <c r="C83" s="36">
        <f>SUM(C84:C89)</f>
        <v>2321543</v>
      </c>
      <c r="D83" s="36">
        <f>SUM(D84:D89)</f>
        <v>702266.75749999995</v>
      </c>
      <c r="E83" s="36">
        <f>SUM(E84:E89)</f>
        <v>1474760.1907500001</v>
      </c>
      <c r="F83" s="36">
        <f t="shared" si="17"/>
        <v>1474.76019075</v>
      </c>
      <c r="G83" s="36">
        <f>SUM(G84:G89)</f>
        <v>1032332.133525</v>
      </c>
      <c r="H83" s="37">
        <f>SUM(H84:H89)</f>
        <v>1032.332133525</v>
      </c>
    </row>
    <row r="84" spans="1:8" ht="13.5">
      <c r="A84" s="64"/>
      <c r="B84" s="38" t="s">
        <v>132</v>
      </c>
      <c r="C84" s="39">
        <v>800881</v>
      </c>
      <c r="D84" s="39">
        <f t="shared" ref="D84:D100" si="27">C84*0.3025</f>
        <v>242266.5025</v>
      </c>
      <c r="E84" s="39">
        <f t="shared" ref="E84" si="28">D84*$B$103</f>
        <v>508759.65525000001</v>
      </c>
      <c r="F84" s="39">
        <f t="shared" si="17"/>
        <v>508.75965525000004</v>
      </c>
      <c r="G84" s="39">
        <f t="shared" ref="G84" si="29">E84*$B$104</f>
        <v>356131.75867499999</v>
      </c>
      <c r="H84" s="40">
        <f t="shared" ref="H84:H100" si="30">G84/1000</f>
        <v>356.13175867500001</v>
      </c>
    </row>
    <row r="85" spans="1:8" ht="13.5">
      <c r="A85" s="64"/>
      <c r="B85" s="38" t="s">
        <v>133</v>
      </c>
      <c r="C85" s="39">
        <v>266489</v>
      </c>
      <c r="D85" s="39">
        <f t="shared" si="27"/>
        <v>80612.922500000001</v>
      </c>
      <c r="E85" s="39">
        <f>D85*$B$103</f>
        <v>169287.13725</v>
      </c>
      <c r="F85" s="39">
        <f t="shared" si="17"/>
        <v>169.28713725</v>
      </c>
      <c r="G85" s="39">
        <f>E85*$B$104</f>
        <v>118500.99607499999</v>
      </c>
      <c r="H85" s="40">
        <f t="shared" si="30"/>
        <v>118.50099607499999</v>
      </c>
    </row>
    <row r="86" spans="1:8" ht="13.5">
      <c r="A86" s="64"/>
      <c r="B86" s="38" t="s">
        <v>134</v>
      </c>
      <c r="C86" s="39">
        <v>140372</v>
      </c>
      <c r="D86" s="39">
        <f t="shared" si="27"/>
        <v>42462.53</v>
      </c>
      <c r="E86" s="39">
        <f>D86*$B$103</f>
        <v>89171.312999999995</v>
      </c>
      <c r="F86" s="39">
        <f t="shared" si="17"/>
        <v>89.171312999999998</v>
      </c>
      <c r="G86" s="39">
        <f>E86*$B$104</f>
        <v>62419.919099999992</v>
      </c>
      <c r="H86" s="40">
        <f t="shared" si="30"/>
        <v>62.419919099999994</v>
      </c>
    </row>
    <row r="87" spans="1:8" ht="13.5">
      <c r="A87" s="64"/>
      <c r="B87" s="38" t="s">
        <v>135</v>
      </c>
      <c r="C87" s="39">
        <v>357410</v>
      </c>
      <c r="D87" s="39">
        <f t="shared" si="27"/>
        <v>108116.52499999999</v>
      </c>
      <c r="E87" s="39">
        <f>D87*$B$103</f>
        <v>227044.70249999998</v>
      </c>
      <c r="F87" s="39">
        <f t="shared" si="17"/>
        <v>227.04470249999997</v>
      </c>
      <c r="G87" s="39">
        <f>E87*$B$104</f>
        <v>158931.29174999997</v>
      </c>
      <c r="H87" s="40">
        <f t="shared" si="30"/>
        <v>158.93129174999999</v>
      </c>
    </row>
    <row r="88" spans="1:8" ht="13.5">
      <c r="A88" s="64"/>
      <c r="B88" s="38" t="s">
        <v>136</v>
      </c>
      <c r="C88" s="39">
        <v>200643</v>
      </c>
      <c r="D88" s="39">
        <f t="shared" si="27"/>
        <v>60694.5075</v>
      </c>
      <c r="E88" s="39">
        <f>D88*$B$103</f>
        <v>127458.46575</v>
      </c>
      <c r="F88" s="39">
        <f t="shared" si="17"/>
        <v>127.45846575</v>
      </c>
      <c r="G88" s="39">
        <f>E88*$B$104</f>
        <v>89220.926024999993</v>
      </c>
      <c r="H88" s="40">
        <f t="shared" si="30"/>
        <v>89.220926024999997</v>
      </c>
    </row>
    <row r="89" spans="1:8" ht="14.25" thickBot="1">
      <c r="A89" s="63"/>
      <c r="B89" s="41" t="s">
        <v>137</v>
      </c>
      <c r="C89" s="42">
        <v>555748</v>
      </c>
      <c r="D89" s="42">
        <f t="shared" si="27"/>
        <v>168113.77</v>
      </c>
      <c r="E89" s="42">
        <f>D89*$B$103</f>
        <v>353038.91700000002</v>
      </c>
      <c r="F89" s="42">
        <f t="shared" si="17"/>
        <v>353.03891700000003</v>
      </c>
      <c r="G89" s="42">
        <f>E89*$B$104</f>
        <v>247127.24189999999</v>
      </c>
      <c r="H89" s="43">
        <f t="shared" si="30"/>
        <v>247.1272419</v>
      </c>
    </row>
    <row r="90" spans="1:8" ht="13.5">
      <c r="A90" s="62" t="s">
        <v>43</v>
      </c>
      <c r="B90" s="35" t="s">
        <v>66</v>
      </c>
      <c r="C90" s="36">
        <f>SUM(C91:C92)</f>
        <v>300215.90000000002</v>
      </c>
      <c r="D90" s="36">
        <f>SUM(D91:D92)</f>
        <v>90815.30975</v>
      </c>
      <c r="E90" s="36">
        <f>SUM(E91:E92)</f>
        <v>190712.150475</v>
      </c>
      <c r="F90" s="36">
        <f t="shared" si="17"/>
        <v>190.71215047500002</v>
      </c>
      <c r="G90" s="36">
        <f>SUM(G91:G92)</f>
        <v>133498.5053325</v>
      </c>
      <c r="H90" s="37">
        <f>SUM(H91:H92)</f>
        <v>133.4985053325</v>
      </c>
    </row>
    <row r="91" spans="1:8" ht="13.5">
      <c r="A91" s="64"/>
      <c r="B91" s="38" t="s">
        <v>138</v>
      </c>
      <c r="C91" s="39">
        <v>22614</v>
      </c>
      <c r="D91" s="39">
        <f t="shared" si="27"/>
        <v>6840.7349999999997</v>
      </c>
      <c r="E91" s="39">
        <f t="shared" ref="E91:E92" si="31">D91*$B$103</f>
        <v>14365.5435</v>
      </c>
      <c r="F91" s="39">
        <f t="shared" si="17"/>
        <v>14.365543499999999</v>
      </c>
      <c r="G91" s="39">
        <f t="shared" ref="G91:G92" si="32">E91*$B$104</f>
        <v>10055.880449999999</v>
      </c>
      <c r="H91" s="40">
        <f t="shared" si="30"/>
        <v>10.055880449999998</v>
      </c>
    </row>
    <row r="92" spans="1:8" ht="14.25" thickBot="1">
      <c r="A92" s="63"/>
      <c r="B92" s="41" t="s">
        <v>139</v>
      </c>
      <c r="C92" s="42">
        <v>277601.90000000002</v>
      </c>
      <c r="D92" s="42">
        <f t="shared" si="27"/>
        <v>83974.57475</v>
      </c>
      <c r="E92" s="42">
        <f t="shared" si="31"/>
        <v>176346.606975</v>
      </c>
      <c r="F92" s="42">
        <f t="shared" si="17"/>
        <v>176.34660697500001</v>
      </c>
      <c r="G92" s="42">
        <f t="shared" si="32"/>
        <v>123442.62488249999</v>
      </c>
      <c r="H92" s="43">
        <f t="shared" si="30"/>
        <v>123.4426248825</v>
      </c>
    </row>
    <row r="93" spans="1:8" ht="13.5">
      <c r="A93" s="62" t="s">
        <v>44</v>
      </c>
      <c r="B93" s="35" t="s">
        <v>66</v>
      </c>
      <c r="C93" s="36">
        <v>74418</v>
      </c>
      <c r="D93" s="36">
        <f>C93*0.3025</f>
        <v>22511.445</v>
      </c>
      <c r="E93" s="36">
        <f t="shared" ref="E93" si="33">D93*2.1</f>
        <v>47274.034500000002</v>
      </c>
      <c r="F93" s="36">
        <f t="shared" si="17"/>
        <v>47.274034499999999</v>
      </c>
      <c r="G93" s="36">
        <f>E93*0.7</f>
        <v>33091.82415</v>
      </c>
      <c r="H93" s="37">
        <f>G93/1000</f>
        <v>33.091824150000001</v>
      </c>
    </row>
    <row r="94" spans="1:8" ht="14.25" thickBot="1">
      <c r="A94" s="63"/>
      <c r="B94" s="41" t="s">
        <v>140</v>
      </c>
      <c r="C94" s="42">
        <v>74418</v>
      </c>
      <c r="D94" s="42">
        <f t="shared" si="27"/>
        <v>22511.445</v>
      </c>
      <c r="E94" s="42">
        <f>D94*$B$103</f>
        <v>47274.034500000002</v>
      </c>
      <c r="F94" s="42">
        <f t="shared" si="17"/>
        <v>47.274034499999999</v>
      </c>
      <c r="G94" s="42">
        <f t="shared" ref="G94" si="34">E94*$B$104</f>
        <v>33091.82415</v>
      </c>
      <c r="H94" s="43">
        <f t="shared" si="30"/>
        <v>33.091824150000001</v>
      </c>
    </row>
    <row r="95" spans="1:8" ht="13.5">
      <c r="A95" s="62" t="s">
        <v>45</v>
      </c>
      <c r="B95" s="35" t="s">
        <v>66</v>
      </c>
      <c r="C95" s="36">
        <f>SUM(C96:C100)</f>
        <v>817452</v>
      </c>
      <c r="D95" s="36">
        <f>SUM(D96:D100)</f>
        <v>247279.23</v>
      </c>
      <c r="E95" s="36">
        <f>SUM(E96:E100)</f>
        <v>519286.38300000003</v>
      </c>
      <c r="F95" s="36">
        <f t="shared" si="17"/>
        <v>519.286383</v>
      </c>
      <c r="G95" s="36">
        <f>SUM(G96:G100)</f>
        <v>363500.46809999994</v>
      </c>
      <c r="H95" s="37">
        <f>SUM(H96:H100)</f>
        <v>363.50046809999998</v>
      </c>
    </row>
    <row r="96" spans="1:8" ht="13.5">
      <c r="A96" s="64"/>
      <c r="B96" s="38" t="s">
        <v>141</v>
      </c>
      <c r="C96" s="39">
        <v>232142</v>
      </c>
      <c r="D96" s="39">
        <f t="shared" si="27"/>
        <v>70222.955000000002</v>
      </c>
      <c r="E96" s="39">
        <f t="shared" ref="E96:E100" si="35">D96*$B$103</f>
        <v>147468.20550000001</v>
      </c>
      <c r="F96" s="39">
        <f t="shared" si="17"/>
        <v>147.46820550000001</v>
      </c>
      <c r="G96" s="39">
        <f t="shared" ref="G96:G100" si="36">E96*$B$104</f>
        <v>103227.74385</v>
      </c>
      <c r="H96" s="40">
        <f t="shared" si="30"/>
        <v>103.22774385</v>
      </c>
    </row>
    <row r="97" spans="1:8" ht="13.5">
      <c r="A97" s="64"/>
      <c r="B97" s="38" t="s">
        <v>142</v>
      </c>
      <c r="C97" s="39">
        <v>7859</v>
      </c>
      <c r="D97" s="39">
        <f t="shared" si="27"/>
        <v>2377.3474999999999</v>
      </c>
      <c r="E97" s="39">
        <f t="shared" si="35"/>
        <v>4992.4297500000002</v>
      </c>
      <c r="F97" s="39">
        <f t="shared" si="17"/>
        <v>4.9924297500000003</v>
      </c>
      <c r="G97" s="39">
        <f t="shared" si="36"/>
        <v>3494.7008249999999</v>
      </c>
      <c r="H97" s="40">
        <f t="shared" si="30"/>
        <v>3.4947008249999998</v>
      </c>
    </row>
    <row r="98" spans="1:8" ht="13.5">
      <c r="A98" s="64"/>
      <c r="B98" s="38" t="s">
        <v>143</v>
      </c>
      <c r="C98" s="39">
        <v>540637</v>
      </c>
      <c r="D98" s="39">
        <f t="shared" si="27"/>
        <v>163542.6925</v>
      </c>
      <c r="E98" s="39">
        <f t="shared" si="35"/>
        <v>343439.65425000002</v>
      </c>
      <c r="F98" s="39">
        <f t="shared" si="17"/>
        <v>343.43965425000005</v>
      </c>
      <c r="G98" s="39">
        <f t="shared" si="36"/>
        <v>240407.75797499999</v>
      </c>
      <c r="H98" s="40">
        <f t="shared" si="30"/>
        <v>240.40775797499998</v>
      </c>
    </row>
    <row r="99" spans="1:8" ht="13.5">
      <c r="A99" s="64"/>
      <c r="B99" s="38" t="s">
        <v>144</v>
      </c>
      <c r="C99" s="39">
        <v>2033</v>
      </c>
      <c r="D99" s="39">
        <f t="shared" si="27"/>
        <v>614.98249999999996</v>
      </c>
      <c r="E99" s="39">
        <f t="shared" si="35"/>
        <v>1291.46325</v>
      </c>
      <c r="F99" s="39">
        <f t="shared" si="17"/>
        <v>1.2914632500000001</v>
      </c>
      <c r="G99" s="39">
        <f t="shared" si="36"/>
        <v>904.02427499999999</v>
      </c>
      <c r="H99" s="40">
        <f t="shared" si="30"/>
        <v>0.90402427500000004</v>
      </c>
    </row>
    <row r="100" spans="1:8" ht="14.25" thickBot="1">
      <c r="A100" s="63"/>
      <c r="B100" s="41" t="s">
        <v>145</v>
      </c>
      <c r="C100" s="42">
        <v>34781</v>
      </c>
      <c r="D100" s="42">
        <f t="shared" si="27"/>
        <v>10521.252500000001</v>
      </c>
      <c r="E100" s="42">
        <f t="shared" si="35"/>
        <v>22094.630250000002</v>
      </c>
      <c r="F100" s="42">
        <f t="shared" si="17"/>
        <v>22.094630250000002</v>
      </c>
      <c r="G100" s="42">
        <f t="shared" si="36"/>
        <v>15466.241175000001</v>
      </c>
      <c r="H100" s="43">
        <f t="shared" si="30"/>
        <v>15.466241175</v>
      </c>
    </row>
    <row r="102" spans="1:8">
      <c r="A102" s="1" t="s">
        <v>146</v>
      </c>
      <c r="B102" s="46"/>
    </row>
    <row r="103" spans="1:8">
      <c r="A103" s="1" t="s">
        <v>147</v>
      </c>
      <c r="B103" s="46">
        <v>2.1</v>
      </c>
    </row>
    <row r="104" spans="1:8">
      <c r="A104" s="1" t="s">
        <v>148</v>
      </c>
      <c r="B104" s="47">
        <v>0.7</v>
      </c>
    </row>
  </sheetData>
  <mergeCells count="20">
    <mergeCell ref="A55:A63"/>
    <mergeCell ref="A1:H1"/>
    <mergeCell ref="A3:B3"/>
    <mergeCell ref="A4:A9"/>
    <mergeCell ref="A10:A16"/>
    <mergeCell ref="A17:A24"/>
    <mergeCell ref="A25:A29"/>
    <mergeCell ref="A30:A33"/>
    <mergeCell ref="A34:A35"/>
    <mergeCell ref="A36:A37"/>
    <mergeCell ref="A38:A41"/>
    <mergeCell ref="A42:A54"/>
    <mergeCell ref="A93:A94"/>
    <mergeCell ref="A95:A100"/>
    <mergeCell ref="A64:A70"/>
    <mergeCell ref="A71:A72"/>
    <mergeCell ref="A73:A75"/>
    <mergeCell ref="A76:A82"/>
    <mergeCell ref="A83:A89"/>
    <mergeCell ref="A90:A9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G4" sqref="G4"/>
    </sheetView>
  </sheetViews>
  <sheetFormatPr defaultRowHeight="21" customHeight="1"/>
  <cols>
    <col min="1" max="1" width="15.42578125" customWidth="1"/>
    <col min="2" max="2" width="12.5703125" hidden="1" customWidth="1"/>
    <col min="3" max="3" width="15.7109375" customWidth="1"/>
    <col min="4" max="4" width="17.28515625" hidden="1" customWidth="1"/>
    <col min="5" max="5" width="14.42578125" customWidth="1"/>
    <col min="6" max="6" width="14.85546875" hidden="1" customWidth="1"/>
    <col min="7" max="7" width="13.42578125" customWidth="1"/>
  </cols>
  <sheetData>
    <row r="1" spans="1:7" ht="21" customHeight="1" thickBot="1">
      <c r="A1" s="68" t="s">
        <v>53</v>
      </c>
      <c r="B1" s="68"/>
      <c r="C1" s="68"/>
      <c r="D1" s="68"/>
      <c r="E1" s="68"/>
      <c r="F1" s="68"/>
      <c r="G1" s="68"/>
    </row>
    <row r="2" spans="1:7" ht="21" customHeight="1">
      <c r="A2" s="5" t="s">
        <v>54</v>
      </c>
      <c r="B2" s="3" t="s">
        <v>55</v>
      </c>
      <c r="C2" s="3" t="s">
        <v>56</v>
      </c>
      <c r="D2" s="3" t="s">
        <v>57</v>
      </c>
      <c r="E2" s="3" t="s">
        <v>58</v>
      </c>
      <c r="F2" s="3" t="s">
        <v>59</v>
      </c>
      <c r="G2" s="4" t="s">
        <v>60</v>
      </c>
    </row>
    <row r="3" spans="1:7" ht="21" customHeight="1" thickBot="1">
      <c r="A3" s="15" t="s">
        <v>61</v>
      </c>
      <c r="B3" s="16"/>
      <c r="C3" s="17">
        <f>SUM(C4:C17)</f>
        <v>2345418.9879999999</v>
      </c>
      <c r="D3" s="17">
        <f t="shared" ref="D3:G3" si="0">SUM(D4:D17)</f>
        <v>4925379.8748000003</v>
      </c>
      <c r="E3" s="17">
        <f t="shared" si="0"/>
        <v>4925.3798747999999</v>
      </c>
      <c r="F3" s="17">
        <f t="shared" si="0"/>
        <v>3447765.9123599995</v>
      </c>
      <c r="G3" s="18">
        <f t="shared" si="0"/>
        <v>3447.7659123599997</v>
      </c>
    </row>
    <row r="4" spans="1:7" ht="21" customHeight="1">
      <c r="A4" s="19" t="s">
        <v>0</v>
      </c>
      <c r="B4" s="20">
        <v>27368</v>
      </c>
      <c r="C4" s="20">
        <f>B4*0.3025</f>
        <v>8278.82</v>
      </c>
      <c r="D4" s="20">
        <f>C4*2.1</f>
        <v>17385.522000000001</v>
      </c>
      <c r="E4" s="20">
        <f>D4/1000</f>
        <v>17.385522000000002</v>
      </c>
      <c r="F4" s="20">
        <f>D4*0.7</f>
        <v>12169.865400000001</v>
      </c>
      <c r="G4" s="21">
        <f>F4/1000</f>
        <v>12.169865400000001</v>
      </c>
    </row>
    <row r="5" spans="1:7" ht="21" customHeight="1">
      <c r="A5" s="22" t="s">
        <v>5</v>
      </c>
      <c r="B5" s="23">
        <v>79132</v>
      </c>
      <c r="C5" s="20">
        <f t="shared" ref="C5:C17" si="1">B5*0.3025</f>
        <v>23937.43</v>
      </c>
      <c r="D5" s="23">
        <f t="shared" ref="D5:D17" si="2">C5*2.1</f>
        <v>50268.603000000003</v>
      </c>
      <c r="E5" s="23">
        <f t="shared" ref="E5:E17" si="3">D5/1000</f>
        <v>50.268603000000006</v>
      </c>
      <c r="F5" s="23">
        <f t="shared" ref="F5:F17" si="4">D5*0.7</f>
        <v>35188.022100000002</v>
      </c>
      <c r="G5" s="24">
        <f t="shared" ref="G5:G17" si="5">F5/1000</f>
        <v>35.188022100000005</v>
      </c>
    </row>
    <row r="6" spans="1:7" ht="21" customHeight="1">
      <c r="A6" s="22" t="s">
        <v>6</v>
      </c>
      <c r="B6" s="23">
        <v>97251</v>
      </c>
      <c r="C6" s="20">
        <f t="shared" si="1"/>
        <v>29418.427499999998</v>
      </c>
      <c r="D6" s="23">
        <f t="shared" si="2"/>
        <v>61778.697749999999</v>
      </c>
      <c r="E6" s="23">
        <f t="shared" si="3"/>
        <v>61.778697749999999</v>
      </c>
      <c r="F6" s="23">
        <f t="shared" si="4"/>
        <v>43245.088424999994</v>
      </c>
      <c r="G6" s="24">
        <f t="shared" si="5"/>
        <v>43.245088424999992</v>
      </c>
    </row>
    <row r="7" spans="1:7" ht="21" customHeight="1">
      <c r="A7" s="22" t="s">
        <v>9</v>
      </c>
      <c r="B7" s="23">
        <v>42579</v>
      </c>
      <c r="C7" s="20">
        <f t="shared" si="1"/>
        <v>12880.147499999999</v>
      </c>
      <c r="D7" s="23">
        <f t="shared" si="2"/>
        <v>27048.30975</v>
      </c>
      <c r="E7" s="23">
        <f t="shared" si="3"/>
        <v>27.048309750000001</v>
      </c>
      <c r="F7" s="23">
        <f t="shared" si="4"/>
        <v>18933.816824999998</v>
      </c>
      <c r="G7" s="24">
        <f t="shared" si="5"/>
        <v>18.933816824999997</v>
      </c>
    </row>
    <row r="8" spans="1:7" ht="21" customHeight="1">
      <c r="A8" s="22" t="s">
        <v>10</v>
      </c>
      <c r="B8" s="23">
        <v>780737.1</v>
      </c>
      <c r="C8" s="20">
        <f t="shared" si="1"/>
        <v>236172.97274999999</v>
      </c>
      <c r="D8" s="23">
        <f t="shared" si="2"/>
        <v>495963.24277499999</v>
      </c>
      <c r="E8" s="23">
        <f t="shared" si="3"/>
        <v>495.96324277499997</v>
      </c>
      <c r="F8" s="23">
        <f t="shared" si="4"/>
        <v>347174.26994249999</v>
      </c>
      <c r="G8" s="24">
        <f t="shared" si="5"/>
        <v>347.17426994249996</v>
      </c>
    </row>
    <row r="9" spans="1:7" ht="21" customHeight="1">
      <c r="A9" s="22" t="s">
        <v>11</v>
      </c>
      <c r="B9" s="23">
        <v>2065851.3</v>
      </c>
      <c r="C9" s="20">
        <f t="shared" si="1"/>
        <v>624920.01824999996</v>
      </c>
      <c r="D9" s="23">
        <f t="shared" si="2"/>
        <v>1312332.0383250001</v>
      </c>
      <c r="E9" s="23">
        <f t="shared" si="3"/>
        <v>1312.332038325</v>
      </c>
      <c r="F9" s="23">
        <f t="shared" si="4"/>
        <v>918632.42682749999</v>
      </c>
      <c r="G9" s="24">
        <f t="shared" si="5"/>
        <v>918.63242682750001</v>
      </c>
    </row>
    <row r="10" spans="1:7" ht="21" customHeight="1">
      <c r="A10" s="22" t="s">
        <v>12</v>
      </c>
      <c r="B10" s="23">
        <v>1075890.2</v>
      </c>
      <c r="C10" s="20">
        <f t="shared" si="1"/>
        <v>325456.7855</v>
      </c>
      <c r="D10" s="23">
        <f t="shared" si="2"/>
        <v>683459.24955000007</v>
      </c>
      <c r="E10" s="23">
        <f t="shared" si="3"/>
        <v>683.4592495500001</v>
      </c>
      <c r="F10" s="23">
        <f t="shared" si="4"/>
        <v>478421.47468500002</v>
      </c>
      <c r="G10" s="24">
        <f t="shared" si="5"/>
        <v>478.42147468500002</v>
      </c>
    </row>
    <row r="11" spans="1:7" ht="21" customHeight="1">
      <c r="A11" s="22" t="s">
        <v>13</v>
      </c>
      <c r="B11" s="23">
        <v>20840</v>
      </c>
      <c r="C11" s="20">
        <f t="shared" si="1"/>
        <v>6304.0999999999995</v>
      </c>
      <c r="D11" s="23">
        <f t="shared" si="2"/>
        <v>13238.609999999999</v>
      </c>
      <c r="E11" s="23">
        <f t="shared" si="3"/>
        <v>13.23861</v>
      </c>
      <c r="F11" s="23">
        <f t="shared" si="4"/>
        <v>9267.0269999999982</v>
      </c>
      <c r="G11" s="24">
        <f t="shared" si="5"/>
        <v>9.2670269999999988</v>
      </c>
    </row>
    <row r="12" spans="1:7" ht="21" customHeight="1">
      <c r="A12" s="22" t="s">
        <v>14</v>
      </c>
      <c r="B12" s="23">
        <v>1806880.9</v>
      </c>
      <c r="C12" s="20">
        <f t="shared" si="1"/>
        <v>546581.47224999999</v>
      </c>
      <c r="D12" s="23">
        <f t="shared" si="2"/>
        <v>1147821.0917249999</v>
      </c>
      <c r="E12" s="23">
        <f t="shared" si="3"/>
        <v>1147.8210917249999</v>
      </c>
      <c r="F12" s="23">
        <f t="shared" si="4"/>
        <v>803474.76420749992</v>
      </c>
      <c r="G12" s="24">
        <f t="shared" si="5"/>
        <v>803.4747642074999</v>
      </c>
    </row>
    <row r="13" spans="1:7" ht="21" customHeight="1">
      <c r="A13" s="22" t="s">
        <v>16</v>
      </c>
      <c r="B13" s="23">
        <v>87188.3</v>
      </c>
      <c r="C13" s="20">
        <f t="shared" si="1"/>
        <v>26374.460749999998</v>
      </c>
      <c r="D13" s="23">
        <f t="shared" si="2"/>
        <v>55386.367574999997</v>
      </c>
      <c r="E13" s="23">
        <f t="shared" si="3"/>
        <v>55.386367574999994</v>
      </c>
      <c r="F13" s="23">
        <f t="shared" si="4"/>
        <v>38770.457302499992</v>
      </c>
      <c r="G13" s="24">
        <f t="shared" si="5"/>
        <v>38.770457302499992</v>
      </c>
    </row>
    <row r="14" spans="1:7" ht="21" customHeight="1">
      <c r="A14" s="22" t="s">
        <v>17</v>
      </c>
      <c r="B14" s="23">
        <v>496977</v>
      </c>
      <c r="C14" s="20">
        <f t="shared" si="1"/>
        <v>150335.54249999998</v>
      </c>
      <c r="D14" s="23">
        <f t="shared" si="2"/>
        <v>315704.63924999995</v>
      </c>
      <c r="E14" s="23">
        <f t="shared" si="3"/>
        <v>315.70463924999996</v>
      </c>
      <c r="F14" s="23">
        <f t="shared" si="4"/>
        <v>220993.24747499995</v>
      </c>
      <c r="G14" s="24">
        <f t="shared" si="5"/>
        <v>220.99324747499995</v>
      </c>
    </row>
    <row r="15" spans="1:7" ht="21" customHeight="1">
      <c r="A15" s="22" t="s">
        <v>18</v>
      </c>
      <c r="B15" s="23">
        <v>293938.40000000002</v>
      </c>
      <c r="C15" s="20">
        <f t="shared" si="1"/>
        <v>88916.366000000009</v>
      </c>
      <c r="D15" s="23">
        <f t="shared" si="2"/>
        <v>186724.36860000002</v>
      </c>
      <c r="E15" s="23">
        <f t="shared" si="3"/>
        <v>186.72436860000002</v>
      </c>
      <c r="F15" s="23">
        <f t="shared" si="4"/>
        <v>130707.05802</v>
      </c>
      <c r="G15" s="24">
        <f t="shared" si="5"/>
        <v>130.70705802000001</v>
      </c>
    </row>
    <row r="16" spans="1:7" ht="21" customHeight="1">
      <c r="A16" s="22" t="s">
        <v>19</v>
      </c>
      <c r="B16" s="23">
        <v>75817</v>
      </c>
      <c r="C16" s="20">
        <f t="shared" si="1"/>
        <v>22934.642499999998</v>
      </c>
      <c r="D16" s="23">
        <f t="shared" si="2"/>
        <v>48162.749250000001</v>
      </c>
      <c r="E16" s="23">
        <f t="shared" si="3"/>
        <v>48.162749249999997</v>
      </c>
      <c r="F16" s="23">
        <f t="shared" si="4"/>
        <v>33713.924475</v>
      </c>
      <c r="G16" s="24">
        <f t="shared" si="5"/>
        <v>33.713924474999999</v>
      </c>
    </row>
    <row r="17" spans="1:7" ht="21" customHeight="1" thickBot="1">
      <c r="A17" s="25" t="s">
        <v>20</v>
      </c>
      <c r="B17" s="26">
        <v>803001</v>
      </c>
      <c r="C17" s="27">
        <f t="shared" si="1"/>
        <v>242907.80249999999</v>
      </c>
      <c r="D17" s="26">
        <f t="shared" si="2"/>
        <v>510106.38524999999</v>
      </c>
      <c r="E17" s="26">
        <f t="shared" si="3"/>
        <v>510.10638525000002</v>
      </c>
      <c r="F17" s="26">
        <f t="shared" si="4"/>
        <v>357074.469675</v>
      </c>
      <c r="G17" s="28">
        <f t="shared" si="5"/>
        <v>357.07446967499999</v>
      </c>
    </row>
  </sheetData>
  <mergeCells count="1">
    <mergeCell ref="A1:G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종합</vt:lpstr>
      <vt:lpstr>무농약</vt:lpstr>
      <vt:lpstr>유기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팔당</dc:creator>
  <cp:lastModifiedBy>센터장</cp:lastModifiedBy>
  <dcterms:created xsi:type="dcterms:W3CDTF">2013-09-26T02:15:24Z</dcterms:created>
  <dcterms:modified xsi:type="dcterms:W3CDTF">2013-10-17T00:56:23Z</dcterms:modified>
</cp:coreProperties>
</file>